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wlin\Desktop\New Research\(1) SMS with SDSTs and DPC\Web\"/>
    </mc:Choice>
  </mc:AlternateContent>
  <bookViews>
    <workbookView xWindow="0" yWindow="0" windowWidth="9600" windowHeight="5220"/>
  </bookViews>
  <sheets>
    <sheet name="0_ALL" sheetId="3" r:id="rId1"/>
    <sheet name="0_result(Small)" sheetId="5" r:id="rId2"/>
    <sheet name="0_result(Large)" sheetId="1" r:id="rId3"/>
    <sheet name="統計檢定" sheetId="6" r:id="rId4"/>
  </sheets>
  <definedNames>
    <definedName name="_xlnm._FilterDatabase" localSheetId="2" hidden="1">'0_result(Large)'!$A$1:$W$402</definedName>
    <definedName name="_xlnm._FilterDatabase" localSheetId="1" hidden="1">'0_result(Small)'!$A$1:$AH$179</definedName>
  </definedNames>
  <calcPr calcId="162913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2" i="1"/>
  <c r="H23" i="6" l="1"/>
  <c r="H22" i="6"/>
  <c r="H21" i="6"/>
  <c r="H20" i="6"/>
  <c r="D23" i="6"/>
  <c r="D22" i="6"/>
  <c r="D21" i="6"/>
  <c r="D20" i="6"/>
  <c r="H7" i="6"/>
  <c r="H6" i="6"/>
  <c r="H5" i="6"/>
  <c r="H4" i="6"/>
  <c r="D7" i="6"/>
  <c r="D6" i="6"/>
  <c r="D5" i="6"/>
  <c r="D4" i="6"/>
  <c r="Q3" i="5" l="1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2" i="5"/>
  <c r="W162" i="5" l="1"/>
  <c r="Q162" i="5"/>
  <c r="R419" i="1"/>
  <c r="R418" i="1"/>
  <c r="R416" i="1"/>
  <c r="R415" i="1"/>
  <c r="R413" i="1"/>
  <c r="R412" i="1"/>
  <c r="R410" i="1"/>
  <c r="R409" i="1"/>
  <c r="R408" i="1"/>
  <c r="R407" i="1"/>
  <c r="K419" i="1"/>
  <c r="K418" i="1"/>
  <c r="K416" i="1"/>
  <c r="K415" i="1"/>
  <c r="K408" i="1"/>
  <c r="K409" i="1"/>
  <c r="K410" i="1"/>
  <c r="K407" i="1"/>
  <c r="K413" i="1"/>
  <c r="K412" i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U179" i="5"/>
  <c r="U178" i="5"/>
  <c r="U175" i="5"/>
  <c r="U174" i="5"/>
  <c r="U171" i="5"/>
  <c r="U170" i="5"/>
  <c r="O179" i="5"/>
  <c r="O178" i="5"/>
  <c r="O175" i="5"/>
  <c r="O174" i="5"/>
  <c r="O171" i="5"/>
  <c r="O170" i="5"/>
  <c r="J179" i="5"/>
  <c r="J178" i="5"/>
  <c r="J175" i="5"/>
  <c r="J174" i="5"/>
  <c r="J171" i="5"/>
  <c r="J170" i="5"/>
  <c r="L398" i="1" l="1"/>
  <c r="N398" i="1"/>
  <c r="M398" i="1"/>
  <c r="L390" i="1"/>
  <c r="N390" i="1"/>
  <c r="M390" i="1"/>
  <c r="L382" i="1"/>
  <c r="N382" i="1"/>
  <c r="M382" i="1"/>
  <c r="L374" i="1"/>
  <c r="N374" i="1"/>
  <c r="M374" i="1"/>
  <c r="L366" i="1"/>
  <c r="N366" i="1"/>
  <c r="M366" i="1"/>
  <c r="L358" i="1"/>
  <c r="N358" i="1"/>
  <c r="M358" i="1"/>
  <c r="L350" i="1"/>
  <c r="N350" i="1"/>
  <c r="M350" i="1"/>
  <c r="L342" i="1"/>
  <c r="N342" i="1"/>
  <c r="M342" i="1"/>
  <c r="L334" i="1"/>
  <c r="N334" i="1"/>
  <c r="M334" i="1"/>
  <c r="L326" i="1"/>
  <c r="N326" i="1"/>
  <c r="M326" i="1"/>
  <c r="L318" i="1"/>
  <c r="N318" i="1"/>
  <c r="M318" i="1"/>
  <c r="S310" i="1"/>
  <c r="L310" i="1"/>
  <c r="N310" i="1"/>
  <c r="M310" i="1"/>
  <c r="M302" i="1"/>
  <c r="N302" i="1"/>
  <c r="L302" i="1"/>
  <c r="M294" i="1"/>
  <c r="N294" i="1"/>
  <c r="L294" i="1"/>
  <c r="M286" i="1"/>
  <c r="L286" i="1"/>
  <c r="N286" i="1"/>
  <c r="M278" i="1"/>
  <c r="N278" i="1"/>
  <c r="L278" i="1"/>
  <c r="M270" i="1"/>
  <c r="N270" i="1"/>
  <c r="L270" i="1"/>
  <c r="M262" i="1"/>
  <c r="N262" i="1"/>
  <c r="L262" i="1"/>
  <c r="M254" i="1"/>
  <c r="N254" i="1"/>
  <c r="L254" i="1"/>
  <c r="M246" i="1"/>
  <c r="N246" i="1"/>
  <c r="L246" i="1"/>
  <c r="M238" i="1"/>
  <c r="N238" i="1"/>
  <c r="L238" i="1"/>
  <c r="M230" i="1"/>
  <c r="N230" i="1"/>
  <c r="L230" i="1"/>
  <c r="N222" i="1"/>
  <c r="L222" i="1"/>
  <c r="M222" i="1"/>
  <c r="N214" i="1"/>
  <c r="M214" i="1"/>
  <c r="L214" i="1"/>
  <c r="N206" i="1"/>
  <c r="L206" i="1"/>
  <c r="M206" i="1"/>
  <c r="N198" i="1"/>
  <c r="L198" i="1"/>
  <c r="M198" i="1"/>
  <c r="N190" i="1"/>
  <c r="L190" i="1"/>
  <c r="M190" i="1"/>
  <c r="N182" i="1"/>
  <c r="M182" i="1"/>
  <c r="L182" i="1"/>
  <c r="N174" i="1"/>
  <c r="L174" i="1"/>
  <c r="M174" i="1"/>
  <c r="N166" i="1"/>
  <c r="L166" i="1"/>
  <c r="M166" i="1"/>
  <c r="N158" i="1"/>
  <c r="M158" i="1"/>
  <c r="L158" i="1"/>
  <c r="N150" i="1"/>
  <c r="M150" i="1"/>
  <c r="L150" i="1"/>
  <c r="N142" i="1"/>
  <c r="L142" i="1"/>
  <c r="M142" i="1"/>
  <c r="N134" i="1"/>
  <c r="L134" i="1"/>
  <c r="M134" i="1"/>
  <c r="N126" i="1"/>
  <c r="L126" i="1"/>
  <c r="M126" i="1"/>
  <c r="N118" i="1"/>
  <c r="M118" i="1"/>
  <c r="L118" i="1"/>
  <c r="N110" i="1"/>
  <c r="L110" i="1"/>
  <c r="M110" i="1"/>
  <c r="N102" i="1"/>
  <c r="L102" i="1"/>
  <c r="M102" i="1"/>
  <c r="N94" i="1"/>
  <c r="L94" i="1"/>
  <c r="M94" i="1"/>
  <c r="N86" i="1"/>
  <c r="M86" i="1"/>
  <c r="L86" i="1"/>
  <c r="N78" i="1"/>
  <c r="L78" i="1"/>
  <c r="M78" i="1"/>
  <c r="N70" i="1"/>
  <c r="L70" i="1"/>
  <c r="M70" i="1"/>
  <c r="N62" i="1"/>
  <c r="L62" i="1"/>
  <c r="M62" i="1"/>
  <c r="N54" i="1"/>
  <c r="M54" i="1"/>
  <c r="L54" i="1"/>
  <c r="N46" i="1"/>
  <c r="L46" i="1"/>
  <c r="M46" i="1"/>
  <c r="N38" i="1"/>
  <c r="L38" i="1"/>
  <c r="M38" i="1"/>
  <c r="N30" i="1"/>
  <c r="M30" i="1"/>
  <c r="L30" i="1"/>
  <c r="N22" i="1"/>
  <c r="M22" i="1"/>
  <c r="L22" i="1"/>
  <c r="S14" i="1"/>
  <c r="N14" i="1"/>
  <c r="L14" i="1"/>
  <c r="M14" i="1"/>
  <c r="N6" i="1"/>
  <c r="L6" i="1"/>
  <c r="M6" i="1"/>
  <c r="L387" i="1"/>
  <c r="M387" i="1"/>
  <c r="N387" i="1"/>
  <c r="L379" i="1"/>
  <c r="M379" i="1"/>
  <c r="N379" i="1"/>
  <c r="L363" i="1"/>
  <c r="M363" i="1"/>
  <c r="N363" i="1"/>
  <c r="L355" i="1"/>
  <c r="M355" i="1"/>
  <c r="N355" i="1"/>
  <c r="L347" i="1"/>
  <c r="M347" i="1"/>
  <c r="N347" i="1"/>
  <c r="L339" i="1"/>
  <c r="M339" i="1"/>
  <c r="N339" i="1"/>
  <c r="L323" i="1"/>
  <c r="M323" i="1"/>
  <c r="N323" i="1"/>
  <c r="L315" i="1"/>
  <c r="M315" i="1"/>
  <c r="N315" i="1"/>
  <c r="N307" i="1"/>
  <c r="M307" i="1"/>
  <c r="L307" i="1"/>
  <c r="N299" i="1"/>
  <c r="L299" i="1"/>
  <c r="M299" i="1"/>
  <c r="N291" i="1"/>
  <c r="L291" i="1"/>
  <c r="M291" i="1"/>
  <c r="L283" i="1"/>
  <c r="N283" i="1"/>
  <c r="M283" i="1"/>
  <c r="L275" i="1"/>
  <c r="N275" i="1"/>
  <c r="M275" i="1"/>
  <c r="L267" i="1"/>
  <c r="N267" i="1"/>
  <c r="M267" i="1"/>
  <c r="L259" i="1"/>
  <c r="N259" i="1"/>
  <c r="M259" i="1"/>
  <c r="L251" i="1"/>
  <c r="N251" i="1"/>
  <c r="M251" i="1"/>
  <c r="L243" i="1"/>
  <c r="N243" i="1"/>
  <c r="M243" i="1"/>
  <c r="L235" i="1"/>
  <c r="N235" i="1"/>
  <c r="M235" i="1"/>
  <c r="L227" i="1"/>
  <c r="M227" i="1"/>
  <c r="N227" i="1"/>
  <c r="L219" i="1"/>
  <c r="M219" i="1"/>
  <c r="N219" i="1"/>
  <c r="L211" i="1"/>
  <c r="M211" i="1"/>
  <c r="N211" i="1"/>
  <c r="L203" i="1"/>
  <c r="N203" i="1"/>
  <c r="M203" i="1"/>
  <c r="L195" i="1"/>
  <c r="M195" i="1"/>
  <c r="N195" i="1"/>
  <c r="L187" i="1"/>
  <c r="M187" i="1"/>
  <c r="N187" i="1"/>
  <c r="L179" i="1"/>
  <c r="M179" i="1"/>
  <c r="N179" i="1"/>
  <c r="L171" i="1"/>
  <c r="N171" i="1"/>
  <c r="M171" i="1"/>
  <c r="L163" i="1"/>
  <c r="M163" i="1"/>
  <c r="N163" i="1"/>
  <c r="L155" i="1"/>
  <c r="M155" i="1"/>
  <c r="N155" i="1"/>
  <c r="L147" i="1"/>
  <c r="M147" i="1"/>
  <c r="N147" i="1"/>
  <c r="L139" i="1"/>
  <c r="N139" i="1"/>
  <c r="M139" i="1"/>
  <c r="L131" i="1"/>
  <c r="M131" i="1"/>
  <c r="N131" i="1"/>
  <c r="L123" i="1"/>
  <c r="M123" i="1"/>
  <c r="N123" i="1"/>
  <c r="L115" i="1"/>
  <c r="N115" i="1"/>
  <c r="M115" i="1"/>
  <c r="L107" i="1"/>
  <c r="N107" i="1"/>
  <c r="M107" i="1"/>
  <c r="L99" i="1"/>
  <c r="M99" i="1"/>
  <c r="N99" i="1"/>
  <c r="L91" i="1"/>
  <c r="M91" i="1"/>
  <c r="N91" i="1"/>
  <c r="L83" i="1"/>
  <c r="M83" i="1"/>
  <c r="N83" i="1"/>
  <c r="L75" i="1"/>
  <c r="N75" i="1"/>
  <c r="M75" i="1"/>
  <c r="L67" i="1"/>
  <c r="M67" i="1"/>
  <c r="N67" i="1"/>
  <c r="T59" i="1"/>
  <c r="L59" i="1"/>
  <c r="M59" i="1"/>
  <c r="N59" i="1"/>
  <c r="L51" i="1"/>
  <c r="M51" i="1"/>
  <c r="N51" i="1"/>
  <c r="L43" i="1"/>
  <c r="N43" i="1"/>
  <c r="M43" i="1"/>
  <c r="L35" i="1"/>
  <c r="M35" i="1"/>
  <c r="N35" i="1"/>
  <c r="L27" i="1"/>
  <c r="M27" i="1"/>
  <c r="N27" i="1"/>
  <c r="L19" i="1"/>
  <c r="M19" i="1"/>
  <c r="N19" i="1"/>
  <c r="L11" i="1"/>
  <c r="N11" i="1"/>
  <c r="M11" i="1"/>
  <c r="L3" i="1"/>
  <c r="M3" i="1"/>
  <c r="N3" i="1"/>
  <c r="M2" i="1"/>
  <c r="N2" i="1"/>
  <c r="L2" i="1"/>
  <c r="M386" i="1"/>
  <c r="L386" i="1"/>
  <c r="N386" i="1"/>
  <c r="M370" i="1"/>
  <c r="L370" i="1"/>
  <c r="N370" i="1"/>
  <c r="M354" i="1"/>
  <c r="L354" i="1"/>
  <c r="N354" i="1"/>
  <c r="M338" i="1"/>
  <c r="L338" i="1"/>
  <c r="N338" i="1"/>
  <c r="M322" i="1"/>
  <c r="L322" i="1"/>
  <c r="N322" i="1"/>
  <c r="S306" i="1"/>
  <c r="L306" i="1"/>
  <c r="M306" i="1"/>
  <c r="N306" i="1"/>
  <c r="L298" i="1"/>
  <c r="M298" i="1"/>
  <c r="N298" i="1"/>
  <c r="L282" i="1"/>
  <c r="N282" i="1"/>
  <c r="M282" i="1"/>
  <c r="L266" i="1"/>
  <c r="M266" i="1"/>
  <c r="N266" i="1"/>
  <c r="L250" i="1"/>
  <c r="N250" i="1"/>
  <c r="M250" i="1"/>
  <c r="L242" i="1"/>
  <c r="M242" i="1"/>
  <c r="N242" i="1"/>
  <c r="M226" i="1"/>
  <c r="L226" i="1"/>
  <c r="N226" i="1"/>
  <c r="L218" i="1"/>
  <c r="M218" i="1"/>
  <c r="N218" i="1"/>
  <c r="L210" i="1"/>
  <c r="N210" i="1"/>
  <c r="M210" i="1"/>
  <c r="M202" i="1"/>
  <c r="N202" i="1"/>
  <c r="L202" i="1"/>
  <c r="M194" i="1"/>
  <c r="N194" i="1"/>
  <c r="L194" i="1"/>
  <c r="L178" i="1"/>
  <c r="N178" i="1"/>
  <c r="M178" i="1"/>
  <c r="M170" i="1"/>
  <c r="N170" i="1"/>
  <c r="L170" i="1"/>
  <c r="M162" i="1"/>
  <c r="L162" i="1"/>
  <c r="N162" i="1"/>
  <c r="L154" i="1"/>
  <c r="M154" i="1"/>
  <c r="N154" i="1"/>
  <c r="L146" i="1"/>
  <c r="N146" i="1"/>
  <c r="M146" i="1"/>
  <c r="M138" i="1"/>
  <c r="N138" i="1"/>
  <c r="L138" i="1"/>
  <c r="M130" i="1"/>
  <c r="N130" i="1"/>
  <c r="L130" i="1"/>
  <c r="L122" i="1"/>
  <c r="M122" i="1"/>
  <c r="N122" i="1"/>
  <c r="L114" i="1"/>
  <c r="N114" i="1"/>
  <c r="M114" i="1"/>
  <c r="M106" i="1"/>
  <c r="N106" i="1"/>
  <c r="L106" i="1"/>
  <c r="M98" i="1"/>
  <c r="L98" i="1"/>
  <c r="N98" i="1"/>
  <c r="L90" i="1"/>
  <c r="M90" i="1"/>
  <c r="N90" i="1"/>
  <c r="L82" i="1"/>
  <c r="N82" i="1"/>
  <c r="M82" i="1"/>
  <c r="M74" i="1"/>
  <c r="N74" i="1"/>
  <c r="L74" i="1"/>
  <c r="M66" i="1"/>
  <c r="N66" i="1"/>
  <c r="L66" i="1"/>
  <c r="L58" i="1"/>
  <c r="N58" i="1"/>
  <c r="M58" i="1"/>
  <c r="L50" i="1"/>
  <c r="N50" i="1"/>
  <c r="M50" i="1"/>
  <c r="M42" i="1"/>
  <c r="N42" i="1"/>
  <c r="L42" i="1"/>
  <c r="M34" i="1"/>
  <c r="L34" i="1"/>
  <c r="N34" i="1"/>
  <c r="L26" i="1"/>
  <c r="M26" i="1"/>
  <c r="N26" i="1"/>
  <c r="L18" i="1"/>
  <c r="N18" i="1"/>
  <c r="M18" i="1"/>
  <c r="M10" i="1"/>
  <c r="N10" i="1"/>
  <c r="L10" i="1"/>
  <c r="L395" i="1"/>
  <c r="M395" i="1"/>
  <c r="N395" i="1"/>
  <c r="L371" i="1"/>
  <c r="M371" i="1"/>
  <c r="N371" i="1"/>
  <c r="L331" i="1"/>
  <c r="M331" i="1"/>
  <c r="N331" i="1"/>
  <c r="M394" i="1"/>
  <c r="L394" i="1"/>
  <c r="N394" i="1"/>
  <c r="M378" i="1"/>
  <c r="L378" i="1"/>
  <c r="N378" i="1"/>
  <c r="M362" i="1"/>
  <c r="L362" i="1"/>
  <c r="N362" i="1"/>
  <c r="M346" i="1"/>
  <c r="L346" i="1"/>
  <c r="N346" i="1"/>
  <c r="M330" i="1"/>
  <c r="L330" i="1"/>
  <c r="N330" i="1"/>
  <c r="M314" i="1"/>
  <c r="N314" i="1"/>
  <c r="L314" i="1"/>
  <c r="L290" i="1"/>
  <c r="N290" i="1"/>
  <c r="M290" i="1"/>
  <c r="L274" i="1"/>
  <c r="M274" i="1"/>
  <c r="N274" i="1"/>
  <c r="L258" i="1"/>
  <c r="M258" i="1"/>
  <c r="N258" i="1"/>
  <c r="L234" i="1"/>
  <c r="M234" i="1"/>
  <c r="N234" i="1"/>
  <c r="L186" i="1"/>
  <c r="N186" i="1"/>
  <c r="M186" i="1"/>
  <c r="M393" i="1"/>
  <c r="L393" i="1"/>
  <c r="N393" i="1"/>
  <c r="M385" i="1"/>
  <c r="N385" i="1"/>
  <c r="L385" i="1"/>
  <c r="M369" i="1"/>
  <c r="L369" i="1"/>
  <c r="N369" i="1"/>
  <c r="M353" i="1"/>
  <c r="N353" i="1"/>
  <c r="L353" i="1"/>
  <c r="M345" i="1"/>
  <c r="L345" i="1"/>
  <c r="N345" i="1"/>
  <c r="M329" i="1"/>
  <c r="L329" i="1"/>
  <c r="N329" i="1"/>
  <c r="M313" i="1"/>
  <c r="L313" i="1"/>
  <c r="N313" i="1"/>
  <c r="L297" i="1"/>
  <c r="N297" i="1"/>
  <c r="M297" i="1"/>
  <c r="L281" i="1"/>
  <c r="M281" i="1"/>
  <c r="N281" i="1"/>
  <c r="L265" i="1"/>
  <c r="M265" i="1"/>
  <c r="N265" i="1"/>
  <c r="L249" i="1"/>
  <c r="M249" i="1"/>
  <c r="N249" i="1"/>
  <c r="L233" i="1"/>
  <c r="M233" i="1"/>
  <c r="N233" i="1"/>
  <c r="M217" i="1"/>
  <c r="L217" i="1"/>
  <c r="N217" i="1"/>
  <c r="S201" i="1"/>
  <c r="M201" i="1"/>
  <c r="N201" i="1"/>
  <c r="L201" i="1"/>
  <c r="M193" i="1"/>
  <c r="L193" i="1"/>
  <c r="N193" i="1"/>
  <c r="M177" i="1"/>
  <c r="N177" i="1"/>
  <c r="L177" i="1"/>
  <c r="T161" i="1"/>
  <c r="M161" i="1"/>
  <c r="L161" i="1"/>
  <c r="N161" i="1"/>
  <c r="M145" i="1"/>
  <c r="N145" i="1"/>
  <c r="L145" i="1"/>
  <c r="M105" i="1"/>
  <c r="N105" i="1"/>
  <c r="L105" i="1"/>
  <c r="M400" i="1"/>
  <c r="N400" i="1"/>
  <c r="L400" i="1"/>
  <c r="M392" i="1"/>
  <c r="N392" i="1"/>
  <c r="L392" i="1"/>
  <c r="M384" i="1"/>
  <c r="N384" i="1"/>
  <c r="L384" i="1"/>
  <c r="M376" i="1"/>
  <c r="N376" i="1"/>
  <c r="L376" i="1"/>
  <c r="M368" i="1"/>
  <c r="N368" i="1"/>
  <c r="L368" i="1"/>
  <c r="M360" i="1"/>
  <c r="N360" i="1"/>
  <c r="L360" i="1"/>
  <c r="M352" i="1"/>
  <c r="N352" i="1"/>
  <c r="L352" i="1"/>
  <c r="M344" i="1"/>
  <c r="N344" i="1"/>
  <c r="L344" i="1"/>
  <c r="M336" i="1"/>
  <c r="N336" i="1"/>
  <c r="L336" i="1"/>
  <c r="M328" i="1"/>
  <c r="N328" i="1"/>
  <c r="L328" i="1"/>
  <c r="M320" i="1"/>
  <c r="N320" i="1"/>
  <c r="L320" i="1"/>
  <c r="M312" i="1"/>
  <c r="N312" i="1"/>
  <c r="L312" i="1"/>
  <c r="L304" i="1"/>
  <c r="N304" i="1"/>
  <c r="M304" i="1"/>
  <c r="L296" i="1"/>
  <c r="N296" i="1"/>
  <c r="M296" i="1"/>
  <c r="M288" i="1"/>
  <c r="N288" i="1"/>
  <c r="L288" i="1"/>
  <c r="M280" i="1"/>
  <c r="L280" i="1"/>
  <c r="N280" i="1"/>
  <c r="M272" i="1"/>
  <c r="N272" i="1"/>
  <c r="L272" i="1"/>
  <c r="M264" i="1"/>
  <c r="L264" i="1"/>
  <c r="N264" i="1"/>
  <c r="M256" i="1"/>
  <c r="N256" i="1"/>
  <c r="L256" i="1"/>
  <c r="M248" i="1"/>
  <c r="L248" i="1"/>
  <c r="N248" i="1"/>
  <c r="M240" i="1"/>
  <c r="N240" i="1"/>
  <c r="L240" i="1"/>
  <c r="M232" i="1"/>
  <c r="L232" i="1"/>
  <c r="N232" i="1"/>
  <c r="M224" i="1"/>
  <c r="L224" i="1"/>
  <c r="N224" i="1"/>
  <c r="M216" i="1"/>
  <c r="N216" i="1"/>
  <c r="L216" i="1"/>
  <c r="M208" i="1"/>
  <c r="N208" i="1"/>
  <c r="L208" i="1"/>
  <c r="M200" i="1"/>
  <c r="L200" i="1"/>
  <c r="N200" i="1"/>
  <c r="M192" i="1"/>
  <c r="L192" i="1"/>
  <c r="N192" i="1"/>
  <c r="M184" i="1"/>
  <c r="N184" i="1"/>
  <c r="L184" i="1"/>
  <c r="M176" i="1"/>
  <c r="N176" i="1"/>
  <c r="L176" i="1"/>
  <c r="M168" i="1"/>
  <c r="L168" i="1"/>
  <c r="N168" i="1"/>
  <c r="M160" i="1"/>
  <c r="L160" i="1"/>
  <c r="N160" i="1"/>
  <c r="M152" i="1"/>
  <c r="N152" i="1"/>
  <c r="L152" i="1"/>
  <c r="M144" i="1"/>
  <c r="N144" i="1"/>
  <c r="L144" i="1"/>
  <c r="M136" i="1"/>
  <c r="L136" i="1"/>
  <c r="N136" i="1"/>
  <c r="M128" i="1"/>
  <c r="L128" i="1"/>
  <c r="N128" i="1"/>
  <c r="M120" i="1"/>
  <c r="N120" i="1"/>
  <c r="L120" i="1"/>
  <c r="M112" i="1"/>
  <c r="N112" i="1"/>
  <c r="L112" i="1"/>
  <c r="M104" i="1"/>
  <c r="L104" i="1"/>
  <c r="N104" i="1"/>
  <c r="M96" i="1"/>
  <c r="L96" i="1"/>
  <c r="N96" i="1"/>
  <c r="M88" i="1"/>
  <c r="N88" i="1"/>
  <c r="L88" i="1"/>
  <c r="M80" i="1"/>
  <c r="N80" i="1"/>
  <c r="L80" i="1"/>
  <c r="M72" i="1"/>
  <c r="L72" i="1"/>
  <c r="N72" i="1"/>
  <c r="M64" i="1"/>
  <c r="L64" i="1"/>
  <c r="N64" i="1"/>
  <c r="M56" i="1"/>
  <c r="N56" i="1"/>
  <c r="L56" i="1"/>
  <c r="M48" i="1"/>
  <c r="N48" i="1"/>
  <c r="L48" i="1"/>
  <c r="M40" i="1"/>
  <c r="L40" i="1"/>
  <c r="N40" i="1"/>
  <c r="M32" i="1"/>
  <c r="L32" i="1"/>
  <c r="N32" i="1"/>
  <c r="M24" i="1"/>
  <c r="N24" i="1"/>
  <c r="L24" i="1"/>
  <c r="M16" i="1"/>
  <c r="N16" i="1"/>
  <c r="L16" i="1"/>
  <c r="M8" i="1"/>
  <c r="L8" i="1"/>
  <c r="N8" i="1"/>
  <c r="N399" i="1"/>
  <c r="L399" i="1"/>
  <c r="M399" i="1"/>
  <c r="N391" i="1"/>
  <c r="M391" i="1"/>
  <c r="L391" i="1"/>
  <c r="N383" i="1"/>
  <c r="L383" i="1"/>
  <c r="M383" i="1"/>
  <c r="N375" i="1"/>
  <c r="M375" i="1"/>
  <c r="L375" i="1"/>
  <c r="N367" i="1"/>
  <c r="L367" i="1"/>
  <c r="M367" i="1"/>
  <c r="N359" i="1"/>
  <c r="M359" i="1"/>
  <c r="L359" i="1"/>
  <c r="N351" i="1"/>
  <c r="L351" i="1"/>
  <c r="M351" i="1"/>
  <c r="N343" i="1"/>
  <c r="M343" i="1"/>
  <c r="L343" i="1"/>
  <c r="N335" i="1"/>
  <c r="L335" i="1"/>
  <c r="M335" i="1"/>
  <c r="N327" i="1"/>
  <c r="M327" i="1"/>
  <c r="L327" i="1"/>
  <c r="N319" i="1"/>
  <c r="L319" i="1"/>
  <c r="M319" i="1"/>
  <c r="N311" i="1"/>
  <c r="M311" i="1"/>
  <c r="L311" i="1"/>
  <c r="M303" i="1"/>
  <c r="L303" i="1"/>
  <c r="N303" i="1"/>
  <c r="M295" i="1"/>
  <c r="N295" i="1"/>
  <c r="L295" i="1"/>
  <c r="M287" i="1"/>
  <c r="N287" i="1"/>
  <c r="L287" i="1"/>
  <c r="M279" i="1"/>
  <c r="N279" i="1"/>
  <c r="L279" i="1"/>
  <c r="M271" i="1"/>
  <c r="L271" i="1"/>
  <c r="N271" i="1"/>
  <c r="M263" i="1"/>
  <c r="N263" i="1"/>
  <c r="L263" i="1"/>
  <c r="M255" i="1"/>
  <c r="L255" i="1"/>
  <c r="N255" i="1"/>
  <c r="M247" i="1"/>
  <c r="N247" i="1"/>
  <c r="L247" i="1"/>
  <c r="M239" i="1"/>
  <c r="L239" i="1"/>
  <c r="N239" i="1"/>
  <c r="M231" i="1"/>
  <c r="N231" i="1"/>
  <c r="L231" i="1"/>
  <c r="L223" i="1"/>
  <c r="N223" i="1"/>
  <c r="M223" i="1"/>
  <c r="N215" i="1"/>
  <c r="M215" i="1"/>
  <c r="L215" i="1"/>
  <c r="M207" i="1"/>
  <c r="L207" i="1"/>
  <c r="N207" i="1"/>
  <c r="L199" i="1"/>
  <c r="M199" i="1"/>
  <c r="N199" i="1"/>
  <c r="L191" i="1"/>
  <c r="N191" i="1"/>
  <c r="M191" i="1"/>
  <c r="N183" i="1"/>
  <c r="L183" i="1"/>
  <c r="M183" i="1"/>
  <c r="M175" i="1"/>
  <c r="N175" i="1"/>
  <c r="L175" i="1"/>
  <c r="L167" i="1"/>
  <c r="M167" i="1"/>
  <c r="N167" i="1"/>
  <c r="L159" i="1"/>
  <c r="N159" i="1"/>
  <c r="M159" i="1"/>
  <c r="N151" i="1"/>
  <c r="L151" i="1"/>
  <c r="M151" i="1"/>
  <c r="M143" i="1"/>
  <c r="L143" i="1"/>
  <c r="N143" i="1"/>
  <c r="L135" i="1"/>
  <c r="M135" i="1"/>
  <c r="N135" i="1"/>
  <c r="L127" i="1"/>
  <c r="N127" i="1"/>
  <c r="M127" i="1"/>
  <c r="N119" i="1"/>
  <c r="L119" i="1"/>
  <c r="M119" i="1"/>
  <c r="M111" i="1"/>
  <c r="N111" i="1"/>
  <c r="L111" i="1"/>
  <c r="L103" i="1"/>
  <c r="M103" i="1"/>
  <c r="N103" i="1"/>
  <c r="L95" i="1"/>
  <c r="N95" i="1"/>
  <c r="M95" i="1"/>
  <c r="S87" i="1"/>
  <c r="N87" i="1"/>
  <c r="M87" i="1"/>
  <c r="L87" i="1"/>
  <c r="M79" i="1"/>
  <c r="L79" i="1"/>
  <c r="N79" i="1"/>
  <c r="L71" i="1"/>
  <c r="M71" i="1"/>
  <c r="N71" i="1"/>
  <c r="L63" i="1"/>
  <c r="N63" i="1"/>
  <c r="M63" i="1"/>
  <c r="N55" i="1"/>
  <c r="L55" i="1"/>
  <c r="M55" i="1"/>
  <c r="M47" i="1"/>
  <c r="N47" i="1"/>
  <c r="L47" i="1"/>
  <c r="L39" i="1"/>
  <c r="M39" i="1"/>
  <c r="N39" i="1"/>
  <c r="L31" i="1"/>
  <c r="N31" i="1"/>
  <c r="M31" i="1"/>
  <c r="N23" i="1"/>
  <c r="L23" i="1"/>
  <c r="M23" i="1"/>
  <c r="M15" i="1"/>
  <c r="L15" i="1"/>
  <c r="N15" i="1"/>
  <c r="L7" i="1"/>
  <c r="M7" i="1"/>
  <c r="N7" i="1"/>
  <c r="L397" i="1"/>
  <c r="N397" i="1"/>
  <c r="M397" i="1"/>
  <c r="L389" i="1"/>
  <c r="N389" i="1"/>
  <c r="M389" i="1"/>
  <c r="L381" i="1"/>
  <c r="N381" i="1"/>
  <c r="M381" i="1"/>
  <c r="L373" i="1"/>
  <c r="N373" i="1"/>
  <c r="M373" i="1"/>
  <c r="L365" i="1"/>
  <c r="N365" i="1"/>
  <c r="M365" i="1"/>
  <c r="L357" i="1"/>
  <c r="N357" i="1"/>
  <c r="M357" i="1"/>
  <c r="L349" i="1"/>
  <c r="N349" i="1"/>
  <c r="M349" i="1"/>
  <c r="L341" i="1"/>
  <c r="N341" i="1"/>
  <c r="M341" i="1"/>
  <c r="L333" i="1"/>
  <c r="N333" i="1"/>
  <c r="M333" i="1"/>
  <c r="L325" i="1"/>
  <c r="N325" i="1"/>
  <c r="M325" i="1"/>
  <c r="L317" i="1"/>
  <c r="N317" i="1"/>
  <c r="M317" i="1"/>
  <c r="L309" i="1"/>
  <c r="N309" i="1"/>
  <c r="M309" i="1"/>
  <c r="N301" i="1"/>
  <c r="L301" i="1"/>
  <c r="M301" i="1"/>
  <c r="M293" i="1"/>
  <c r="L293" i="1"/>
  <c r="N293" i="1"/>
  <c r="L285" i="1"/>
  <c r="M285" i="1"/>
  <c r="N285" i="1"/>
  <c r="N277" i="1"/>
  <c r="L277" i="1"/>
  <c r="M277" i="1"/>
  <c r="N269" i="1"/>
  <c r="L269" i="1"/>
  <c r="M269" i="1"/>
  <c r="N261" i="1"/>
  <c r="M261" i="1"/>
  <c r="L261" i="1"/>
  <c r="N253" i="1"/>
  <c r="L253" i="1"/>
  <c r="M253" i="1"/>
  <c r="N245" i="1"/>
  <c r="L245" i="1"/>
  <c r="M245" i="1"/>
  <c r="N237" i="1"/>
  <c r="L237" i="1"/>
  <c r="M237" i="1"/>
  <c r="N229" i="1"/>
  <c r="M229" i="1"/>
  <c r="L229" i="1"/>
  <c r="N221" i="1"/>
  <c r="M221" i="1"/>
  <c r="L221" i="1"/>
  <c r="N213" i="1"/>
  <c r="L213" i="1"/>
  <c r="M213" i="1"/>
  <c r="N205" i="1"/>
  <c r="L205" i="1"/>
  <c r="M205" i="1"/>
  <c r="N197" i="1"/>
  <c r="L197" i="1"/>
  <c r="M197" i="1"/>
  <c r="N189" i="1"/>
  <c r="M189" i="1"/>
  <c r="L189" i="1"/>
  <c r="N181" i="1"/>
  <c r="L181" i="1"/>
  <c r="M181" i="1"/>
  <c r="N173" i="1"/>
  <c r="L173" i="1"/>
  <c r="M173" i="1"/>
  <c r="N165" i="1"/>
  <c r="L165" i="1"/>
  <c r="M165" i="1"/>
  <c r="N157" i="1"/>
  <c r="M157" i="1"/>
  <c r="L157" i="1"/>
  <c r="N149" i="1"/>
  <c r="L149" i="1"/>
  <c r="M149" i="1"/>
  <c r="N141" i="1"/>
  <c r="L141" i="1"/>
  <c r="M141" i="1"/>
  <c r="N133" i="1"/>
  <c r="L133" i="1"/>
  <c r="M133" i="1"/>
  <c r="N125" i="1"/>
  <c r="M125" i="1"/>
  <c r="L125" i="1"/>
  <c r="N117" i="1"/>
  <c r="L117" i="1"/>
  <c r="M117" i="1"/>
  <c r="N109" i="1"/>
  <c r="L109" i="1"/>
  <c r="M109" i="1"/>
  <c r="N101" i="1"/>
  <c r="M101" i="1"/>
  <c r="L101" i="1"/>
  <c r="N93" i="1"/>
  <c r="M93" i="1"/>
  <c r="L93" i="1"/>
  <c r="N85" i="1"/>
  <c r="L85" i="1"/>
  <c r="M85" i="1"/>
  <c r="N77" i="1"/>
  <c r="L77" i="1"/>
  <c r="M77" i="1"/>
  <c r="N69" i="1"/>
  <c r="L69" i="1"/>
  <c r="M69" i="1"/>
  <c r="N61" i="1"/>
  <c r="M61" i="1"/>
  <c r="L61" i="1"/>
  <c r="N53" i="1"/>
  <c r="L53" i="1"/>
  <c r="M53" i="1"/>
  <c r="N45" i="1"/>
  <c r="L45" i="1"/>
  <c r="M45" i="1"/>
  <c r="N37" i="1"/>
  <c r="L37" i="1"/>
  <c r="M37" i="1"/>
  <c r="N29" i="1"/>
  <c r="M29" i="1"/>
  <c r="L29" i="1"/>
  <c r="N21" i="1"/>
  <c r="L21" i="1"/>
  <c r="M21" i="1"/>
  <c r="N13" i="1"/>
  <c r="L13" i="1"/>
  <c r="M13" i="1"/>
  <c r="N5" i="1"/>
  <c r="L5" i="1"/>
  <c r="M5" i="1"/>
  <c r="L396" i="1"/>
  <c r="N396" i="1"/>
  <c r="M396" i="1"/>
  <c r="L388" i="1"/>
  <c r="M388" i="1"/>
  <c r="N388" i="1"/>
  <c r="L380" i="1"/>
  <c r="N380" i="1"/>
  <c r="M380" i="1"/>
  <c r="S372" i="1"/>
  <c r="L372" i="1"/>
  <c r="M372" i="1"/>
  <c r="N372" i="1"/>
  <c r="L364" i="1"/>
  <c r="N364" i="1"/>
  <c r="M364" i="1"/>
  <c r="L356" i="1"/>
  <c r="M356" i="1"/>
  <c r="N356" i="1"/>
  <c r="L348" i="1"/>
  <c r="N348" i="1"/>
  <c r="M348" i="1"/>
  <c r="L340" i="1"/>
  <c r="M340" i="1"/>
  <c r="N340" i="1"/>
  <c r="L332" i="1"/>
  <c r="N332" i="1"/>
  <c r="M332" i="1"/>
  <c r="L324" i="1"/>
  <c r="M324" i="1"/>
  <c r="N324" i="1"/>
  <c r="L316" i="1"/>
  <c r="N316" i="1"/>
  <c r="M316" i="1"/>
  <c r="N308" i="1"/>
  <c r="L308" i="1"/>
  <c r="M308" i="1"/>
  <c r="N300" i="1"/>
  <c r="M300" i="1"/>
  <c r="L300" i="1"/>
  <c r="N292" i="1"/>
  <c r="L292" i="1"/>
  <c r="M292" i="1"/>
  <c r="L284" i="1"/>
  <c r="N284" i="1"/>
  <c r="M284" i="1"/>
  <c r="L276" i="1"/>
  <c r="N276" i="1"/>
  <c r="M276" i="1"/>
  <c r="L268" i="1"/>
  <c r="N268" i="1"/>
  <c r="M268" i="1"/>
  <c r="L260" i="1"/>
  <c r="N260" i="1"/>
  <c r="M260" i="1"/>
  <c r="L252" i="1"/>
  <c r="N252" i="1"/>
  <c r="M252" i="1"/>
  <c r="L244" i="1"/>
  <c r="N244" i="1"/>
  <c r="M244" i="1"/>
  <c r="L236" i="1"/>
  <c r="N236" i="1"/>
  <c r="M236" i="1"/>
  <c r="L228" i="1"/>
  <c r="N228" i="1"/>
  <c r="M228" i="1"/>
  <c r="L220" i="1"/>
  <c r="M220" i="1"/>
  <c r="N220" i="1"/>
  <c r="L212" i="1"/>
  <c r="M212" i="1"/>
  <c r="N212" i="1"/>
  <c r="L204" i="1"/>
  <c r="M204" i="1"/>
  <c r="N204" i="1"/>
  <c r="L196" i="1"/>
  <c r="N196" i="1"/>
  <c r="M196" i="1"/>
  <c r="L188" i="1"/>
  <c r="M188" i="1"/>
  <c r="N188" i="1"/>
  <c r="L180" i="1"/>
  <c r="M180" i="1"/>
  <c r="N180" i="1"/>
  <c r="L172" i="1"/>
  <c r="N172" i="1"/>
  <c r="M172" i="1"/>
  <c r="L164" i="1"/>
  <c r="N164" i="1"/>
  <c r="M164" i="1"/>
  <c r="L156" i="1"/>
  <c r="M156" i="1"/>
  <c r="N156" i="1"/>
  <c r="L148" i="1"/>
  <c r="M148" i="1"/>
  <c r="N148" i="1"/>
  <c r="L140" i="1"/>
  <c r="M140" i="1"/>
  <c r="N140" i="1"/>
  <c r="L132" i="1"/>
  <c r="N132" i="1"/>
  <c r="M132" i="1"/>
  <c r="L124" i="1"/>
  <c r="M124" i="1"/>
  <c r="N124" i="1"/>
  <c r="L116" i="1"/>
  <c r="M116" i="1"/>
  <c r="N116" i="1"/>
  <c r="L108" i="1"/>
  <c r="M108" i="1"/>
  <c r="N108" i="1"/>
  <c r="L100" i="1"/>
  <c r="N100" i="1"/>
  <c r="M100" i="1"/>
  <c r="L92" i="1"/>
  <c r="M92" i="1"/>
  <c r="N92" i="1"/>
  <c r="L84" i="1"/>
  <c r="M84" i="1"/>
  <c r="N84" i="1"/>
  <c r="L76" i="1"/>
  <c r="M76" i="1"/>
  <c r="N76" i="1"/>
  <c r="L68" i="1"/>
  <c r="N68" i="1"/>
  <c r="M68" i="1"/>
  <c r="L60" i="1"/>
  <c r="M60" i="1"/>
  <c r="N60" i="1"/>
  <c r="L52" i="1"/>
  <c r="M52" i="1"/>
  <c r="N52" i="1"/>
  <c r="L44" i="1"/>
  <c r="N44" i="1"/>
  <c r="M44" i="1"/>
  <c r="L36" i="1"/>
  <c r="N36" i="1"/>
  <c r="M36" i="1"/>
  <c r="L28" i="1"/>
  <c r="M28" i="1"/>
  <c r="N28" i="1"/>
  <c r="L20" i="1"/>
  <c r="M20" i="1"/>
  <c r="N20" i="1"/>
  <c r="L12" i="1"/>
  <c r="M12" i="1"/>
  <c r="N12" i="1"/>
  <c r="L4" i="1"/>
  <c r="N4" i="1"/>
  <c r="M4" i="1"/>
  <c r="M401" i="1"/>
  <c r="L401" i="1"/>
  <c r="N401" i="1"/>
  <c r="M377" i="1"/>
  <c r="L377" i="1"/>
  <c r="N377" i="1"/>
  <c r="M361" i="1"/>
  <c r="L361" i="1"/>
  <c r="N361" i="1"/>
  <c r="M337" i="1"/>
  <c r="L337" i="1"/>
  <c r="N337" i="1"/>
  <c r="M321" i="1"/>
  <c r="N321" i="1"/>
  <c r="L321" i="1"/>
  <c r="L305" i="1"/>
  <c r="M305" i="1"/>
  <c r="N305" i="1"/>
  <c r="L289" i="1"/>
  <c r="N289" i="1"/>
  <c r="M289" i="1"/>
  <c r="L273" i="1"/>
  <c r="M273" i="1"/>
  <c r="N273" i="1"/>
  <c r="L257" i="1"/>
  <c r="M257" i="1"/>
  <c r="N257" i="1"/>
  <c r="L241" i="1"/>
  <c r="M241" i="1"/>
  <c r="N241" i="1"/>
  <c r="M225" i="1"/>
  <c r="L225" i="1"/>
  <c r="N225" i="1"/>
  <c r="M209" i="1"/>
  <c r="N209" i="1"/>
  <c r="L209" i="1"/>
  <c r="M185" i="1"/>
  <c r="L185" i="1"/>
  <c r="N185" i="1"/>
  <c r="M169" i="1"/>
  <c r="N169" i="1"/>
  <c r="L169" i="1"/>
  <c r="M153" i="1"/>
  <c r="L153" i="1"/>
  <c r="N153" i="1"/>
  <c r="M137" i="1"/>
  <c r="N137" i="1"/>
  <c r="L137" i="1"/>
  <c r="M129" i="1"/>
  <c r="L129" i="1"/>
  <c r="N129" i="1"/>
  <c r="M121" i="1"/>
  <c r="L121" i="1"/>
  <c r="N121" i="1"/>
  <c r="M113" i="1"/>
  <c r="N113" i="1"/>
  <c r="L113" i="1"/>
  <c r="M97" i="1"/>
  <c r="L97" i="1"/>
  <c r="N97" i="1"/>
  <c r="M89" i="1"/>
  <c r="L89" i="1"/>
  <c r="N89" i="1"/>
  <c r="M81" i="1"/>
  <c r="N81" i="1"/>
  <c r="L81" i="1"/>
  <c r="M73" i="1"/>
  <c r="N73" i="1"/>
  <c r="L73" i="1"/>
  <c r="M65" i="1"/>
  <c r="L65" i="1"/>
  <c r="N65" i="1"/>
  <c r="M57" i="1"/>
  <c r="L57" i="1"/>
  <c r="N57" i="1"/>
  <c r="M49" i="1"/>
  <c r="N49" i="1"/>
  <c r="L49" i="1"/>
  <c r="M41" i="1"/>
  <c r="N41" i="1"/>
  <c r="L41" i="1"/>
  <c r="M33" i="1"/>
  <c r="L33" i="1"/>
  <c r="N33" i="1"/>
  <c r="M25" i="1"/>
  <c r="L25" i="1"/>
  <c r="N25" i="1"/>
  <c r="M17" i="1"/>
  <c r="N17" i="1"/>
  <c r="L17" i="1"/>
  <c r="M9" i="1"/>
  <c r="N9" i="1"/>
  <c r="L9" i="1"/>
  <c r="T121" i="1"/>
  <c r="T253" i="1"/>
  <c r="T384" i="1"/>
  <c r="S384" i="1"/>
  <c r="T336" i="1"/>
  <c r="S336" i="1"/>
  <c r="T296" i="1"/>
  <c r="S296" i="1"/>
  <c r="T264" i="1"/>
  <c r="S264" i="1"/>
  <c r="T232" i="1"/>
  <c r="S232" i="1"/>
  <c r="T216" i="1"/>
  <c r="S216" i="1"/>
  <c r="T192" i="1"/>
  <c r="S192" i="1"/>
  <c r="T168" i="1"/>
  <c r="S168" i="1"/>
  <c r="T160" i="1"/>
  <c r="S160" i="1"/>
  <c r="T152" i="1"/>
  <c r="S152" i="1"/>
  <c r="T144" i="1"/>
  <c r="S144" i="1"/>
  <c r="T136" i="1"/>
  <c r="S136" i="1"/>
  <c r="T112" i="1"/>
  <c r="S112" i="1"/>
  <c r="T96" i="1"/>
  <c r="S96" i="1"/>
  <c r="T88" i="1"/>
  <c r="S88" i="1"/>
  <c r="T80" i="1"/>
  <c r="S80" i="1"/>
  <c r="S72" i="1"/>
  <c r="T72" i="1"/>
  <c r="T64" i="1"/>
  <c r="S64" i="1"/>
  <c r="T56" i="1"/>
  <c r="S56" i="1"/>
  <c r="S48" i="1"/>
  <c r="T48" i="1"/>
  <c r="T40" i="1"/>
  <c r="S40" i="1"/>
  <c r="T32" i="1"/>
  <c r="S32" i="1"/>
  <c r="T24" i="1"/>
  <c r="S24" i="1"/>
  <c r="T16" i="1"/>
  <c r="S16" i="1"/>
  <c r="T8" i="1"/>
  <c r="T400" i="1"/>
  <c r="S400" i="1"/>
  <c r="T360" i="1"/>
  <c r="S360" i="1"/>
  <c r="T344" i="1"/>
  <c r="S344" i="1"/>
  <c r="T312" i="1"/>
  <c r="S312" i="1"/>
  <c r="T280" i="1"/>
  <c r="S280" i="1"/>
  <c r="T248" i="1"/>
  <c r="S248" i="1"/>
  <c r="T208" i="1"/>
  <c r="S208" i="1"/>
  <c r="T128" i="1"/>
  <c r="S128" i="1"/>
  <c r="T392" i="1"/>
  <c r="S392" i="1"/>
  <c r="T376" i="1"/>
  <c r="S376" i="1"/>
  <c r="T352" i="1"/>
  <c r="S352" i="1"/>
  <c r="T320" i="1"/>
  <c r="S320" i="1"/>
  <c r="T288" i="1"/>
  <c r="S288" i="1"/>
  <c r="T256" i="1"/>
  <c r="S256" i="1"/>
  <c r="T224" i="1"/>
  <c r="S224" i="1"/>
  <c r="T200" i="1"/>
  <c r="S200" i="1"/>
  <c r="T176" i="1"/>
  <c r="S176" i="1"/>
  <c r="S104" i="1"/>
  <c r="T104" i="1"/>
  <c r="T368" i="1"/>
  <c r="S368" i="1"/>
  <c r="T328" i="1"/>
  <c r="S328" i="1"/>
  <c r="T304" i="1"/>
  <c r="S304" i="1"/>
  <c r="T272" i="1"/>
  <c r="S272" i="1"/>
  <c r="T240" i="1"/>
  <c r="S240" i="1"/>
  <c r="T184" i="1"/>
  <c r="S184" i="1"/>
  <c r="T120" i="1"/>
  <c r="S120" i="1"/>
  <c r="K420" i="1"/>
  <c r="T2" i="1"/>
  <c r="S2" i="1"/>
  <c r="S394" i="1"/>
  <c r="T394" i="1"/>
  <c r="S386" i="1"/>
  <c r="T386" i="1"/>
  <c r="S378" i="1"/>
  <c r="T378" i="1"/>
  <c r="T370" i="1"/>
  <c r="S370" i="1"/>
  <c r="T362" i="1"/>
  <c r="S362" i="1"/>
  <c r="S354" i="1"/>
  <c r="T354" i="1"/>
  <c r="T346" i="1"/>
  <c r="S346" i="1"/>
  <c r="T338" i="1"/>
  <c r="S338" i="1"/>
  <c r="S330" i="1"/>
  <c r="T330" i="1"/>
  <c r="T322" i="1"/>
  <c r="S322" i="1"/>
  <c r="S314" i="1"/>
  <c r="T314" i="1"/>
  <c r="T306" i="1"/>
  <c r="T298" i="1"/>
  <c r="S298" i="1"/>
  <c r="T290" i="1"/>
  <c r="S290" i="1"/>
  <c r="T282" i="1"/>
  <c r="S282" i="1"/>
  <c r="T274" i="1"/>
  <c r="S274" i="1"/>
  <c r="T266" i="1"/>
  <c r="S266" i="1"/>
  <c r="S258" i="1"/>
  <c r="T258" i="1"/>
  <c r="S250" i="1"/>
  <c r="T250" i="1"/>
  <c r="T242" i="1"/>
  <c r="S242" i="1"/>
  <c r="S234" i="1"/>
  <c r="T234" i="1"/>
  <c r="T226" i="1"/>
  <c r="S226" i="1"/>
  <c r="S218" i="1"/>
  <c r="T218" i="1"/>
  <c r="T210" i="1"/>
  <c r="S210" i="1"/>
  <c r="T202" i="1"/>
  <c r="S202" i="1"/>
  <c r="S194" i="1"/>
  <c r="T194" i="1"/>
  <c r="T186" i="1"/>
  <c r="S186" i="1"/>
  <c r="T178" i="1"/>
  <c r="S178" i="1"/>
  <c r="T170" i="1"/>
  <c r="S170" i="1"/>
  <c r="T162" i="1"/>
  <c r="S162" i="1"/>
  <c r="S154" i="1"/>
  <c r="T154" i="1"/>
  <c r="T146" i="1"/>
  <c r="S146" i="1"/>
  <c r="S138" i="1"/>
  <c r="T138" i="1"/>
  <c r="T130" i="1"/>
  <c r="S130" i="1"/>
  <c r="S122" i="1"/>
  <c r="T122" i="1"/>
  <c r="T114" i="1"/>
  <c r="S114" i="1"/>
  <c r="S106" i="1"/>
  <c r="T106" i="1"/>
  <c r="S98" i="1"/>
  <c r="T98" i="1"/>
  <c r="S90" i="1"/>
  <c r="T90" i="1"/>
  <c r="S82" i="1"/>
  <c r="T82" i="1"/>
  <c r="S74" i="1"/>
  <c r="T74" i="1"/>
  <c r="S66" i="1"/>
  <c r="T66" i="1"/>
  <c r="S58" i="1"/>
  <c r="T58" i="1"/>
  <c r="S50" i="1"/>
  <c r="T50" i="1"/>
  <c r="T42" i="1"/>
  <c r="S42" i="1"/>
  <c r="T34" i="1"/>
  <c r="S34" i="1"/>
  <c r="T26" i="1"/>
  <c r="S26" i="1"/>
  <c r="T18" i="1"/>
  <c r="S18" i="1"/>
  <c r="T10" i="1"/>
  <c r="S10" i="1"/>
  <c r="S8" i="1"/>
  <c r="S399" i="1"/>
  <c r="T399" i="1"/>
  <c r="T391" i="1"/>
  <c r="S391" i="1"/>
  <c r="S383" i="1"/>
  <c r="T383" i="1"/>
  <c r="S375" i="1"/>
  <c r="T375" i="1"/>
  <c r="T367" i="1"/>
  <c r="S367" i="1"/>
  <c r="S359" i="1"/>
  <c r="T359" i="1"/>
  <c r="T351" i="1"/>
  <c r="S351" i="1"/>
  <c r="S343" i="1"/>
  <c r="T343" i="1"/>
  <c r="S335" i="1"/>
  <c r="T335" i="1"/>
  <c r="T327" i="1"/>
  <c r="S327" i="1"/>
  <c r="S319" i="1"/>
  <c r="T319" i="1"/>
  <c r="S311" i="1"/>
  <c r="T311" i="1"/>
  <c r="T303" i="1"/>
  <c r="S303" i="1"/>
  <c r="T295" i="1"/>
  <c r="S295" i="1"/>
  <c r="T287" i="1"/>
  <c r="S287" i="1"/>
  <c r="S279" i="1"/>
  <c r="T279" i="1"/>
  <c r="S271" i="1"/>
  <c r="T271" i="1"/>
  <c r="S263" i="1"/>
  <c r="T263" i="1"/>
  <c r="S255" i="1"/>
  <c r="S247" i="1"/>
  <c r="T247" i="1"/>
  <c r="S239" i="1"/>
  <c r="T239" i="1"/>
  <c r="T231" i="1"/>
  <c r="S231" i="1"/>
  <c r="S223" i="1"/>
  <c r="T223" i="1"/>
  <c r="S215" i="1"/>
  <c r="T215" i="1"/>
  <c r="T207" i="1"/>
  <c r="S207" i="1"/>
  <c r="S199" i="1"/>
  <c r="T199" i="1"/>
  <c r="T191" i="1"/>
  <c r="S191" i="1"/>
  <c r="S183" i="1"/>
  <c r="T183" i="1"/>
  <c r="S175" i="1"/>
  <c r="T175" i="1"/>
  <c r="T167" i="1"/>
  <c r="S167" i="1"/>
  <c r="S159" i="1"/>
  <c r="S151" i="1"/>
  <c r="T151" i="1"/>
  <c r="S143" i="1"/>
  <c r="T143" i="1"/>
  <c r="T135" i="1"/>
  <c r="S135" i="1"/>
  <c r="S127" i="1"/>
  <c r="T127" i="1"/>
  <c r="S119" i="1"/>
  <c r="T119" i="1"/>
  <c r="T111" i="1"/>
  <c r="S111" i="1"/>
  <c r="T103" i="1"/>
  <c r="S103" i="1"/>
  <c r="S95" i="1"/>
  <c r="T87" i="1"/>
  <c r="T79" i="1"/>
  <c r="S79" i="1"/>
  <c r="T71" i="1"/>
  <c r="S71" i="1"/>
  <c r="S63" i="1"/>
  <c r="T63" i="1"/>
  <c r="T55" i="1"/>
  <c r="S55" i="1"/>
  <c r="S47" i="1"/>
  <c r="T47" i="1"/>
  <c r="S39" i="1"/>
  <c r="T39" i="1"/>
  <c r="S31" i="1"/>
  <c r="T31" i="1"/>
  <c r="S23" i="1"/>
  <c r="T23" i="1"/>
  <c r="S15" i="1"/>
  <c r="T15" i="1"/>
  <c r="S7" i="1"/>
  <c r="T7" i="1"/>
  <c r="T310" i="1"/>
  <c r="S398" i="1"/>
  <c r="T398" i="1"/>
  <c r="T390" i="1"/>
  <c r="S390" i="1"/>
  <c r="S382" i="1"/>
  <c r="T382" i="1"/>
  <c r="T374" i="1"/>
  <c r="S374" i="1"/>
  <c r="S366" i="1"/>
  <c r="T366" i="1"/>
  <c r="T358" i="1"/>
  <c r="S358" i="1"/>
  <c r="T350" i="1"/>
  <c r="S350" i="1"/>
  <c r="S342" i="1"/>
  <c r="T342" i="1"/>
  <c r="S334" i="1"/>
  <c r="T334" i="1"/>
  <c r="S326" i="1"/>
  <c r="T326" i="1"/>
  <c r="T318" i="1"/>
  <c r="S318" i="1"/>
  <c r="S302" i="1"/>
  <c r="T302" i="1"/>
  <c r="T294" i="1"/>
  <c r="S294" i="1"/>
  <c r="S286" i="1"/>
  <c r="T286" i="1"/>
  <c r="T278" i="1"/>
  <c r="S278" i="1"/>
  <c r="S270" i="1"/>
  <c r="T270" i="1"/>
  <c r="S262" i="1"/>
  <c r="T262" i="1"/>
  <c r="T254" i="1"/>
  <c r="S254" i="1"/>
  <c r="S246" i="1"/>
  <c r="T246" i="1"/>
  <c r="S238" i="1"/>
  <c r="T238" i="1"/>
  <c r="T230" i="1"/>
  <c r="S230" i="1"/>
  <c r="T222" i="1"/>
  <c r="S222" i="1"/>
  <c r="T214" i="1"/>
  <c r="S214" i="1"/>
  <c r="S206" i="1"/>
  <c r="T206" i="1"/>
  <c r="T198" i="1"/>
  <c r="S198" i="1"/>
  <c r="S190" i="1"/>
  <c r="T190" i="1"/>
  <c r="T182" i="1"/>
  <c r="S182" i="1"/>
  <c r="S174" i="1"/>
  <c r="T174" i="1"/>
  <c r="S166" i="1"/>
  <c r="T166" i="1"/>
  <c r="T158" i="1"/>
  <c r="S158" i="1"/>
  <c r="S150" i="1"/>
  <c r="T150" i="1"/>
  <c r="S142" i="1"/>
  <c r="T142" i="1"/>
  <c r="T134" i="1"/>
  <c r="S134" i="1"/>
  <c r="S126" i="1"/>
  <c r="T126" i="1"/>
  <c r="T118" i="1"/>
  <c r="S118" i="1"/>
  <c r="S110" i="1"/>
  <c r="T110" i="1"/>
  <c r="S102" i="1"/>
  <c r="T102" i="1"/>
  <c r="S94" i="1"/>
  <c r="T94" i="1"/>
  <c r="S86" i="1"/>
  <c r="T86" i="1"/>
  <c r="S78" i="1"/>
  <c r="T78" i="1"/>
  <c r="S70" i="1"/>
  <c r="T70" i="1"/>
  <c r="S62" i="1"/>
  <c r="T62" i="1"/>
  <c r="S54" i="1"/>
  <c r="T54" i="1"/>
  <c r="T46" i="1"/>
  <c r="S46" i="1"/>
  <c r="T38" i="1"/>
  <c r="S38" i="1"/>
  <c r="T30" i="1"/>
  <c r="S30" i="1"/>
  <c r="T22" i="1"/>
  <c r="S22" i="1"/>
  <c r="T14" i="1"/>
  <c r="T6" i="1"/>
  <c r="S6" i="1"/>
  <c r="T159" i="1"/>
  <c r="T397" i="1"/>
  <c r="S397" i="1"/>
  <c r="S389" i="1"/>
  <c r="T389" i="1"/>
  <c r="T381" i="1"/>
  <c r="S381" i="1"/>
  <c r="S373" i="1"/>
  <c r="T373" i="1"/>
  <c r="T365" i="1"/>
  <c r="S365" i="1"/>
  <c r="S357" i="1"/>
  <c r="T357" i="1"/>
  <c r="S349" i="1"/>
  <c r="T349" i="1"/>
  <c r="T341" i="1"/>
  <c r="S341" i="1"/>
  <c r="S333" i="1"/>
  <c r="T333" i="1"/>
  <c r="S325" i="1"/>
  <c r="T325" i="1"/>
  <c r="T317" i="1"/>
  <c r="S317" i="1"/>
  <c r="S309" i="1"/>
  <c r="T309" i="1"/>
  <c r="T301" i="1"/>
  <c r="S301" i="1"/>
  <c r="S293" i="1"/>
  <c r="T293" i="1"/>
  <c r="T285" i="1"/>
  <c r="S285" i="1"/>
  <c r="T277" i="1"/>
  <c r="S277" i="1"/>
  <c r="S269" i="1"/>
  <c r="T269" i="1"/>
  <c r="S261" i="1"/>
  <c r="T261" i="1"/>
  <c r="S253" i="1"/>
  <c r="T245" i="1"/>
  <c r="S245" i="1"/>
  <c r="S237" i="1"/>
  <c r="T237" i="1"/>
  <c r="S229" i="1"/>
  <c r="T229" i="1"/>
  <c r="T221" i="1"/>
  <c r="S221" i="1"/>
  <c r="S213" i="1"/>
  <c r="T213" i="1"/>
  <c r="T205" i="1"/>
  <c r="S205" i="1"/>
  <c r="S197" i="1"/>
  <c r="T197" i="1"/>
  <c r="S189" i="1"/>
  <c r="T189" i="1"/>
  <c r="T181" i="1"/>
  <c r="S181" i="1"/>
  <c r="S173" i="1"/>
  <c r="T173" i="1"/>
  <c r="S165" i="1"/>
  <c r="T165" i="1"/>
  <c r="T157" i="1"/>
  <c r="S157" i="1"/>
  <c r="T149" i="1"/>
  <c r="S149" i="1"/>
  <c r="T141" i="1"/>
  <c r="S141" i="1"/>
  <c r="S133" i="1"/>
  <c r="T133" i="1"/>
  <c r="S125" i="1"/>
  <c r="T125" i="1"/>
  <c r="S117" i="1"/>
  <c r="T117" i="1"/>
  <c r="T109" i="1"/>
  <c r="S109" i="1"/>
  <c r="S101" i="1"/>
  <c r="T101" i="1"/>
  <c r="S93" i="1"/>
  <c r="T93" i="1"/>
  <c r="T85" i="1"/>
  <c r="S85" i="1"/>
  <c r="T77" i="1"/>
  <c r="S77" i="1"/>
  <c r="S69" i="1"/>
  <c r="T69" i="1"/>
  <c r="S61" i="1"/>
  <c r="T53" i="1"/>
  <c r="S53" i="1"/>
  <c r="T45" i="1"/>
  <c r="S45" i="1"/>
  <c r="T37" i="1"/>
  <c r="S37" i="1"/>
  <c r="T29" i="1"/>
  <c r="S29" i="1"/>
  <c r="T21" i="1"/>
  <c r="T416" i="1" s="1"/>
  <c r="S21" i="1"/>
  <c r="T13" i="1"/>
  <c r="S13" i="1"/>
  <c r="T5" i="1"/>
  <c r="S5" i="1"/>
  <c r="T396" i="1"/>
  <c r="S396" i="1"/>
  <c r="T388" i="1"/>
  <c r="S388" i="1"/>
  <c r="T380" i="1"/>
  <c r="S380" i="1"/>
  <c r="T372" i="1"/>
  <c r="T364" i="1"/>
  <c r="S364" i="1"/>
  <c r="T356" i="1"/>
  <c r="S356" i="1"/>
  <c r="T348" i="1"/>
  <c r="S348" i="1"/>
  <c r="T340" i="1"/>
  <c r="S340" i="1"/>
  <c r="T332" i="1"/>
  <c r="S332" i="1"/>
  <c r="T324" i="1"/>
  <c r="S324" i="1"/>
  <c r="T316" i="1"/>
  <c r="S316" i="1"/>
  <c r="T308" i="1"/>
  <c r="S308" i="1"/>
  <c r="T300" i="1"/>
  <c r="S300" i="1"/>
  <c r="T292" i="1"/>
  <c r="S292" i="1"/>
  <c r="T284" i="1"/>
  <c r="S284" i="1"/>
  <c r="T276" i="1"/>
  <c r="S276" i="1"/>
  <c r="T268" i="1"/>
  <c r="S268" i="1"/>
  <c r="T260" i="1"/>
  <c r="S260" i="1"/>
  <c r="T252" i="1"/>
  <c r="S252" i="1"/>
  <c r="T244" i="1"/>
  <c r="S244" i="1"/>
  <c r="T236" i="1"/>
  <c r="S236" i="1"/>
  <c r="T228" i="1"/>
  <c r="S228" i="1"/>
  <c r="T220" i="1"/>
  <c r="S220" i="1"/>
  <c r="T212" i="1"/>
  <c r="S212" i="1"/>
  <c r="T204" i="1"/>
  <c r="S204" i="1"/>
  <c r="T196" i="1"/>
  <c r="S196" i="1"/>
  <c r="T188" i="1"/>
  <c r="S188" i="1"/>
  <c r="T180" i="1"/>
  <c r="S180" i="1"/>
  <c r="T172" i="1"/>
  <c r="S172" i="1"/>
  <c r="T164" i="1"/>
  <c r="S164" i="1"/>
  <c r="T156" i="1"/>
  <c r="S156" i="1"/>
  <c r="T148" i="1"/>
  <c r="S148" i="1"/>
  <c r="T140" i="1"/>
  <c r="S140" i="1"/>
  <c r="T132" i="1"/>
  <c r="S132" i="1"/>
  <c r="T124" i="1"/>
  <c r="S124" i="1"/>
  <c r="T116" i="1"/>
  <c r="S116" i="1"/>
  <c r="T108" i="1"/>
  <c r="S108" i="1"/>
  <c r="T100" i="1"/>
  <c r="S100" i="1"/>
  <c r="S92" i="1"/>
  <c r="T92" i="1"/>
  <c r="S84" i="1"/>
  <c r="T84" i="1"/>
  <c r="T76" i="1"/>
  <c r="S76" i="1"/>
  <c r="S68" i="1"/>
  <c r="T68" i="1"/>
  <c r="S60" i="1"/>
  <c r="T60" i="1"/>
  <c r="S52" i="1"/>
  <c r="T52" i="1"/>
  <c r="S44" i="1"/>
  <c r="T44" i="1"/>
  <c r="S36" i="1"/>
  <c r="T36" i="1"/>
  <c r="S28" i="1"/>
  <c r="T28" i="1"/>
  <c r="S20" i="1"/>
  <c r="T20" i="1"/>
  <c r="S12" i="1"/>
  <c r="T12" i="1"/>
  <c r="S4" i="1"/>
  <c r="T4" i="1"/>
  <c r="T395" i="1"/>
  <c r="S395" i="1"/>
  <c r="S387" i="1"/>
  <c r="T387" i="1"/>
  <c r="T379" i="1"/>
  <c r="S379" i="1"/>
  <c r="T371" i="1"/>
  <c r="S371" i="1"/>
  <c r="S363" i="1"/>
  <c r="T363" i="1"/>
  <c r="T355" i="1"/>
  <c r="S355" i="1"/>
  <c r="T347" i="1"/>
  <c r="S347" i="1"/>
  <c r="T339" i="1"/>
  <c r="S339" i="1"/>
  <c r="S331" i="1"/>
  <c r="T331" i="1"/>
  <c r="T323" i="1"/>
  <c r="S323" i="1"/>
  <c r="T315" i="1"/>
  <c r="S315" i="1"/>
  <c r="S307" i="1"/>
  <c r="T307" i="1"/>
  <c r="T299" i="1"/>
  <c r="S299" i="1"/>
  <c r="S291" i="1"/>
  <c r="T291" i="1"/>
  <c r="T283" i="1"/>
  <c r="S283" i="1"/>
  <c r="T275" i="1"/>
  <c r="S275" i="1"/>
  <c r="S267" i="1"/>
  <c r="T267" i="1"/>
  <c r="T259" i="1"/>
  <c r="S259" i="1"/>
  <c r="T251" i="1"/>
  <c r="S251" i="1"/>
  <c r="S243" i="1"/>
  <c r="T243" i="1"/>
  <c r="T235" i="1"/>
  <c r="S235" i="1"/>
  <c r="T227" i="1"/>
  <c r="S227" i="1"/>
  <c r="T219" i="1"/>
  <c r="S219" i="1"/>
  <c r="S211" i="1"/>
  <c r="T211" i="1"/>
  <c r="T203" i="1"/>
  <c r="S195" i="1"/>
  <c r="T195" i="1"/>
  <c r="T187" i="1"/>
  <c r="S187" i="1"/>
  <c r="T179" i="1"/>
  <c r="S179" i="1"/>
  <c r="S171" i="1"/>
  <c r="T171" i="1"/>
  <c r="T163" i="1"/>
  <c r="S163" i="1"/>
  <c r="T155" i="1"/>
  <c r="S155" i="1"/>
  <c r="S147" i="1"/>
  <c r="T147" i="1"/>
  <c r="T139" i="1"/>
  <c r="S139" i="1"/>
  <c r="S131" i="1"/>
  <c r="T131" i="1"/>
  <c r="T123" i="1"/>
  <c r="S123" i="1"/>
  <c r="T115" i="1"/>
  <c r="S115" i="1"/>
  <c r="S107" i="1"/>
  <c r="T107" i="1"/>
  <c r="T99" i="1"/>
  <c r="S99" i="1"/>
  <c r="T91" i="1"/>
  <c r="S91" i="1"/>
  <c r="S83" i="1"/>
  <c r="T83" i="1"/>
  <c r="S75" i="1"/>
  <c r="T75" i="1"/>
  <c r="T67" i="1"/>
  <c r="S67" i="1"/>
  <c r="S59" i="1"/>
  <c r="S51" i="1"/>
  <c r="T51" i="1"/>
  <c r="S43" i="1"/>
  <c r="T43" i="1"/>
  <c r="S35" i="1"/>
  <c r="T35" i="1"/>
  <c r="S27" i="1"/>
  <c r="T27" i="1"/>
  <c r="S19" i="1"/>
  <c r="T19" i="1"/>
  <c r="S11" i="1"/>
  <c r="T11" i="1"/>
  <c r="S3" i="1"/>
  <c r="T3" i="1"/>
  <c r="T61" i="1"/>
  <c r="S203" i="1"/>
  <c r="S401" i="1"/>
  <c r="T401" i="1"/>
  <c r="T393" i="1"/>
  <c r="S393" i="1"/>
  <c r="T385" i="1"/>
  <c r="S385" i="1"/>
  <c r="S377" i="1"/>
  <c r="T377" i="1"/>
  <c r="T369" i="1"/>
  <c r="S369" i="1"/>
  <c r="T361" i="1"/>
  <c r="S361" i="1"/>
  <c r="S353" i="1"/>
  <c r="T353" i="1"/>
  <c r="T345" i="1"/>
  <c r="S345" i="1"/>
  <c r="T337" i="1"/>
  <c r="S337" i="1"/>
  <c r="T329" i="1"/>
  <c r="S329" i="1"/>
  <c r="S321" i="1"/>
  <c r="T321" i="1"/>
  <c r="S313" i="1"/>
  <c r="T313" i="1"/>
  <c r="S305" i="1"/>
  <c r="T305" i="1"/>
  <c r="T297" i="1"/>
  <c r="S297" i="1"/>
  <c r="T289" i="1"/>
  <c r="S289" i="1"/>
  <c r="S281" i="1"/>
  <c r="T281" i="1"/>
  <c r="T273" i="1"/>
  <c r="S273" i="1"/>
  <c r="T265" i="1"/>
  <c r="S265" i="1"/>
  <c r="S257" i="1"/>
  <c r="T257" i="1"/>
  <c r="T249" i="1"/>
  <c r="S249" i="1"/>
  <c r="S241" i="1"/>
  <c r="T241" i="1"/>
  <c r="T233" i="1"/>
  <c r="S233" i="1"/>
  <c r="T225" i="1"/>
  <c r="S225" i="1"/>
  <c r="S217" i="1"/>
  <c r="T217" i="1"/>
  <c r="T209" i="1"/>
  <c r="S209" i="1"/>
  <c r="T201" i="1"/>
  <c r="T193" i="1"/>
  <c r="S193" i="1"/>
  <c r="S185" i="1"/>
  <c r="T185" i="1"/>
  <c r="T177" i="1"/>
  <c r="S177" i="1"/>
  <c r="T169" i="1"/>
  <c r="S169" i="1"/>
  <c r="S161" i="1"/>
  <c r="T153" i="1"/>
  <c r="S153" i="1"/>
  <c r="S145" i="1"/>
  <c r="T145" i="1"/>
  <c r="T137" i="1"/>
  <c r="S137" i="1"/>
  <c r="T129" i="1"/>
  <c r="S129" i="1"/>
  <c r="S121" i="1"/>
  <c r="T113" i="1"/>
  <c r="S113" i="1"/>
  <c r="T105" i="1"/>
  <c r="S105" i="1"/>
  <c r="T97" i="1"/>
  <c r="S97" i="1"/>
  <c r="T89" i="1"/>
  <c r="S89" i="1"/>
  <c r="S81" i="1"/>
  <c r="T81" i="1"/>
  <c r="T73" i="1"/>
  <c r="S73" i="1"/>
  <c r="T65" i="1"/>
  <c r="S65" i="1"/>
  <c r="S57" i="1"/>
  <c r="T57" i="1"/>
  <c r="T49" i="1"/>
  <c r="S49" i="1"/>
  <c r="T41" i="1"/>
  <c r="S41" i="1"/>
  <c r="T33" i="1"/>
  <c r="S33" i="1"/>
  <c r="T25" i="1"/>
  <c r="S25" i="1"/>
  <c r="T17" i="1"/>
  <c r="S17" i="1"/>
  <c r="T9" i="1"/>
  <c r="S9" i="1"/>
  <c r="T95" i="1"/>
  <c r="T255" i="1"/>
  <c r="R420" i="1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45" i="5"/>
  <c r="V144" i="5"/>
  <c r="V143" i="5"/>
  <c r="V142" i="5"/>
  <c r="V141" i="5"/>
  <c r="V140" i="5"/>
  <c r="V139" i="5"/>
  <c r="V138" i="5"/>
  <c r="V137" i="5"/>
  <c r="V136" i="5"/>
  <c r="V135" i="5"/>
  <c r="V134" i="5"/>
  <c r="V133" i="5"/>
  <c r="V132" i="5"/>
  <c r="V131" i="5"/>
  <c r="V130" i="5"/>
  <c r="V129" i="5"/>
  <c r="V128" i="5"/>
  <c r="V127" i="5"/>
  <c r="V126" i="5"/>
  <c r="V125" i="5"/>
  <c r="V124" i="5"/>
  <c r="V123" i="5"/>
  <c r="V122" i="5"/>
  <c r="V121" i="5"/>
  <c r="V120" i="5"/>
  <c r="V119" i="5"/>
  <c r="V118" i="5"/>
  <c r="V117" i="5"/>
  <c r="V116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V91" i="5"/>
  <c r="V90" i="5"/>
  <c r="V89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8" i="5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175" i="5" s="1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V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175" i="5" s="1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175" i="5" s="1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2" i="5"/>
  <c r="O162" i="5"/>
  <c r="J162" i="5"/>
  <c r="U162" i="5"/>
  <c r="AH161" i="5"/>
  <c r="AG161" i="5"/>
  <c r="AF161" i="5"/>
  <c r="AH160" i="5"/>
  <c r="AG160" i="5"/>
  <c r="AF160" i="5"/>
  <c r="AH159" i="5"/>
  <c r="AG159" i="5"/>
  <c r="AF159" i="5"/>
  <c r="AH158" i="5"/>
  <c r="AG158" i="5"/>
  <c r="AF158" i="5"/>
  <c r="AH157" i="5"/>
  <c r="AG157" i="5"/>
  <c r="AF157" i="5"/>
  <c r="AH156" i="5"/>
  <c r="AG156" i="5"/>
  <c r="AF156" i="5"/>
  <c r="AH155" i="5"/>
  <c r="AG155" i="5"/>
  <c r="AF155" i="5"/>
  <c r="AH154" i="5"/>
  <c r="AG154" i="5"/>
  <c r="AF154" i="5"/>
  <c r="AH153" i="5"/>
  <c r="AG153" i="5"/>
  <c r="AF153" i="5"/>
  <c r="AH152" i="5"/>
  <c r="AG152" i="5"/>
  <c r="AF152" i="5"/>
  <c r="AH151" i="5"/>
  <c r="AG151" i="5"/>
  <c r="AF151" i="5"/>
  <c r="AH150" i="5"/>
  <c r="AG150" i="5"/>
  <c r="AF150" i="5"/>
  <c r="AH149" i="5"/>
  <c r="AG149" i="5"/>
  <c r="AF149" i="5"/>
  <c r="AH148" i="5"/>
  <c r="AG148" i="5"/>
  <c r="AF148" i="5"/>
  <c r="AH147" i="5"/>
  <c r="AG147" i="5"/>
  <c r="AF147" i="5"/>
  <c r="AH146" i="5"/>
  <c r="AG146" i="5"/>
  <c r="AF146" i="5"/>
  <c r="AH145" i="5"/>
  <c r="AG145" i="5"/>
  <c r="AF145" i="5"/>
  <c r="AH144" i="5"/>
  <c r="AG144" i="5"/>
  <c r="AF144" i="5"/>
  <c r="AH143" i="5"/>
  <c r="AG143" i="5"/>
  <c r="AF143" i="5"/>
  <c r="AH142" i="5"/>
  <c r="AG142" i="5"/>
  <c r="AF142" i="5"/>
  <c r="AH141" i="5"/>
  <c r="AG141" i="5"/>
  <c r="AF141" i="5"/>
  <c r="AH140" i="5"/>
  <c r="AG140" i="5"/>
  <c r="AF140" i="5"/>
  <c r="AH139" i="5"/>
  <c r="AG139" i="5"/>
  <c r="AF139" i="5"/>
  <c r="AH138" i="5"/>
  <c r="AG138" i="5"/>
  <c r="AF138" i="5"/>
  <c r="AH137" i="5"/>
  <c r="AG137" i="5"/>
  <c r="AF137" i="5"/>
  <c r="AH136" i="5"/>
  <c r="AG136" i="5"/>
  <c r="AF136" i="5"/>
  <c r="AH135" i="5"/>
  <c r="AG135" i="5"/>
  <c r="AF135" i="5"/>
  <c r="AH134" i="5"/>
  <c r="AG134" i="5"/>
  <c r="AF134" i="5"/>
  <c r="AH133" i="5"/>
  <c r="AG133" i="5"/>
  <c r="AF133" i="5"/>
  <c r="AH132" i="5"/>
  <c r="AG132" i="5"/>
  <c r="AF132" i="5"/>
  <c r="AH131" i="5"/>
  <c r="AG131" i="5"/>
  <c r="AF131" i="5"/>
  <c r="AH130" i="5"/>
  <c r="AG130" i="5"/>
  <c r="AF130" i="5"/>
  <c r="AH129" i="5"/>
  <c r="AG129" i="5"/>
  <c r="AF129" i="5"/>
  <c r="AH128" i="5"/>
  <c r="AG128" i="5"/>
  <c r="AF128" i="5"/>
  <c r="AH127" i="5"/>
  <c r="AG127" i="5"/>
  <c r="AF127" i="5"/>
  <c r="AH126" i="5"/>
  <c r="AG126" i="5"/>
  <c r="AF126" i="5"/>
  <c r="AH125" i="5"/>
  <c r="AG125" i="5"/>
  <c r="AF125" i="5"/>
  <c r="AH124" i="5"/>
  <c r="AG124" i="5"/>
  <c r="AF124" i="5"/>
  <c r="AH123" i="5"/>
  <c r="AG123" i="5"/>
  <c r="AF123" i="5"/>
  <c r="AH122" i="5"/>
  <c r="AG122" i="5"/>
  <c r="AF122" i="5"/>
  <c r="AH121" i="5"/>
  <c r="AG121" i="5"/>
  <c r="AF121" i="5"/>
  <c r="AH120" i="5"/>
  <c r="AG120" i="5"/>
  <c r="AF120" i="5"/>
  <c r="AH119" i="5"/>
  <c r="AG119" i="5"/>
  <c r="AF119" i="5"/>
  <c r="AH118" i="5"/>
  <c r="AG118" i="5"/>
  <c r="AF118" i="5"/>
  <c r="AH117" i="5"/>
  <c r="AG117" i="5"/>
  <c r="AF117" i="5"/>
  <c r="AH116" i="5"/>
  <c r="AG116" i="5"/>
  <c r="AF116" i="5"/>
  <c r="AH115" i="5"/>
  <c r="AG115" i="5"/>
  <c r="AF115" i="5"/>
  <c r="AH114" i="5"/>
  <c r="AG114" i="5"/>
  <c r="AF114" i="5"/>
  <c r="AH113" i="5"/>
  <c r="AG113" i="5"/>
  <c r="AF113" i="5"/>
  <c r="AH112" i="5"/>
  <c r="AG112" i="5"/>
  <c r="AF112" i="5"/>
  <c r="AH111" i="5"/>
  <c r="AG111" i="5"/>
  <c r="AF111" i="5"/>
  <c r="AH110" i="5"/>
  <c r="AG110" i="5"/>
  <c r="AF110" i="5"/>
  <c r="AH109" i="5"/>
  <c r="AG109" i="5"/>
  <c r="AF109" i="5"/>
  <c r="AH108" i="5"/>
  <c r="AG108" i="5"/>
  <c r="AF108" i="5"/>
  <c r="AH107" i="5"/>
  <c r="AG107" i="5"/>
  <c r="AF107" i="5"/>
  <c r="AH106" i="5"/>
  <c r="AG106" i="5"/>
  <c r="AF106" i="5"/>
  <c r="AH105" i="5"/>
  <c r="AG105" i="5"/>
  <c r="AF105" i="5"/>
  <c r="AH104" i="5"/>
  <c r="AG104" i="5"/>
  <c r="AF104" i="5"/>
  <c r="AH103" i="5"/>
  <c r="AG103" i="5"/>
  <c r="AF103" i="5"/>
  <c r="AH102" i="5"/>
  <c r="AG102" i="5"/>
  <c r="AF102" i="5"/>
  <c r="AH101" i="5"/>
  <c r="AG101" i="5"/>
  <c r="AF101" i="5"/>
  <c r="AH100" i="5"/>
  <c r="AG100" i="5"/>
  <c r="AF100" i="5"/>
  <c r="AH99" i="5"/>
  <c r="AG99" i="5"/>
  <c r="AF99" i="5"/>
  <c r="AH98" i="5"/>
  <c r="AG98" i="5"/>
  <c r="AF98" i="5"/>
  <c r="AH97" i="5"/>
  <c r="AG97" i="5"/>
  <c r="AF97" i="5"/>
  <c r="AH96" i="5"/>
  <c r="AG96" i="5"/>
  <c r="AF96" i="5"/>
  <c r="AH95" i="5"/>
  <c r="AG95" i="5"/>
  <c r="AF95" i="5"/>
  <c r="AH94" i="5"/>
  <c r="AG94" i="5"/>
  <c r="AF94" i="5"/>
  <c r="AH93" i="5"/>
  <c r="AG93" i="5"/>
  <c r="AF93" i="5"/>
  <c r="AH92" i="5"/>
  <c r="AG92" i="5"/>
  <c r="AF92" i="5"/>
  <c r="AH91" i="5"/>
  <c r="AG91" i="5"/>
  <c r="AF91" i="5"/>
  <c r="AH90" i="5"/>
  <c r="AG90" i="5"/>
  <c r="AF90" i="5"/>
  <c r="AH89" i="5"/>
  <c r="AG89" i="5"/>
  <c r="AF89" i="5"/>
  <c r="AH88" i="5"/>
  <c r="AG88" i="5"/>
  <c r="AF88" i="5"/>
  <c r="AH87" i="5"/>
  <c r="AG87" i="5"/>
  <c r="AF87" i="5"/>
  <c r="AH86" i="5"/>
  <c r="AG86" i="5"/>
  <c r="AF86" i="5"/>
  <c r="AH85" i="5"/>
  <c r="AG85" i="5"/>
  <c r="AF85" i="5"/>
  <c r="AH84" i="5"/>
  <c r="AG84" i="5"/>
  <c r="AF84" i="5"/>
  <c r="AH83" i="5"/>
  <c r="AG83" i="5"/>
  <c r="AF83" i="5"/>
  <c r="AH82" i="5"/>
  <c r="AG82" i="5"/>
  <c r="AF82" i="5"/>
  <c r="AH81" i="5"/>
  <c r="AG81" i="5"/>
  <c r="AF81" i="5"/>
  <c r="AH80" i="5"/>
  <c r="AG80" i="5"/>
  <c r="AF80" i="5"/>
  <c r="AH79" i="5"/>
  <c r="AG79" i="5"/>
  <c r="AF79" i="5"/>
  <c r="AH78" i="5"/>
  <c r="AG78" i="5"/>
  <c r="AF78" i="5"/>
  <c r="AH77" i="5"/>
  <c r="AG77" i="5"/>
  <c r="AF77" i="5"/>
  <c r="AH76" i="5"/>
  <c r="AG76" i="5"/>
  <c r="AF76" i="5"/>
  <c r="AH75" i="5"/>
  <c r="AG75" i="5"/>
  <c r="AF75" i="5"/>
  <c r="AH74" i="5"/>
  <c r="AG74" i="5"/>
  <c r="AF74" i="5"/>
  <c r="AH73" i="5"/>
  <c r="AG73" i="5"/>
  <c r="AF73" i="5"/>
  <c r="AH72" i="5"/>
  <c r="AG72" i="5"/>
  <c r="AF72" i="5"/>
  <c r="AH71" i="5"/>
  <c r="AG71" i="5"/>
  <c r="AF71" i="5"/>
  <c r="AH70" i="5"/>
  <c r="AG70" i="5"/>
  <c r="AF70" i="5"/>
  <c r="AH69" i="5"/>
  <c r="AG69" i="5"/>
  <c r="AF69" i="5"/>
  <c r="AH68" i="5"/>
  <c r="AG68" i="5"/>
  <c r="AF68" i="5"/>
  <c r="AH67" i="5"/>
  <c r="AG67" i="5"/>
  <c r="AF67" i="5"/>
  <c r="AH66" i="5"/>
  <c r="AG66" i="5"/>
  <c r="AF66" i="5"/>
  <c r="AH65" i="5"/>
  <c r="AG65" i="5"/>
  <c r="AF65" i="5"/>
  <c r="AH64" i="5"/>
  <c r="AG64" i="5"/>
  <c r="AF64" i="5"/>
  <c r="AH63" i="5"/>
  <c r="AG63" i="5"/>
  <c r="AF63" i="5"/>
  <c r="AH62" i="5"/>
  <c r="AG62" i="5"/>
  <c r="AF62" i="5"/>
  <c r="AH61" i="5"/>
  <c r="AG61" i="5"/>
  <c r="AF61" i="5"/>
  <c r="AH60" i="5"/>
  <c r="AG60" i="5"/>
  <c r="AF60" i="5"/>
  <c r="AH59" i="5"/>
  <c r="AG59" i="5"/>
  <c r="AF59" i="5"/>
  <c r="AH58" i="5"/>
  <c r="AG58" i="5"/>
  <c r="AF58" i="5"/>
  <c r="AH57" i="5"/>
  <c r="AG57" i="5"/>
  <c r="AF57" i="5"/>
  <c r="AH56" i="5"/>
  <c r="AG56" i="5"/>
  <c r="AF56" i="5"/>
  <c r="AH55" i="5"/>
  <c r="AG55" i="5"/>
  <c r="AF55" i="5"/>
  <c r="AH54" i="5"/>
  <c r="AG54" i="5"/>
  <c r="AF54" i="5"/>
  <c r="AH53" i="5"/>
  <c r="AG53" i="5"/>
  <c r="AF53" i="5"/>
  <c r="AH52" i="5"/>
  <c r="AG52" i="5"/>
  <c r="AF52" i="5"/>
  <c r="AH51" i="5"/>
  <c r="AG51" i="5"/>
  <c r="AF51" i="5"/>
  <c r="AH50" i="5"/>
  <c r="AG50" i="5"/>
  <c r="AF50" i="5"/>
  <c r="AH49" i="5"/>
  <c r="AG49" i="5"/>
  <c r="AF49" i="5"/>
  <c r="AH48" i="5"/>
  <c r="AG48" i="5"/>
  <c r="AF48" i="5"/>
  <c r="AH47" i="5"/>
  <c r="AG47" i="5"/>
  <c r="AF47" i="5"/>
  <c r="AH46" i="5"/>
  <c r="AG46" i="5"/>
  <c r="AF46" i="5"/>
  <c r="AH45" i="5"/>
  <c r="AG45" i="5"/>
  <c r="AF45" i="5"/>
  <c r="AH44" i="5"/>
  <c r="AG44" i="5"/>
  <c r="AF44" i="5"/>
  <c r="AH43" i="5"/>
  <c r="AG43" i="5"/>
  <c r="AF43" i="5"/>
  <c r="AH42" i="5"/>
  <c r="AG42" i="5"/>
  <c r="AF42" i="5"/>
  <c r="AH41" i="5"/>
  <c r="AG41" i="5"/>
  <c r="AF41" i="5"/>
  <c r="AH40" i="5"/>
  <c r="AG40" i="5"/>
  <c r="AF40" i="5"/>
  <c r="AH39" i="5"/>
  <c r="AG39" i="5"/>
  <c r="AF39" i="5"/>
  <c r="AH38" i="5"/>
  <c r="AG38" i="5"/>
  <c r="AF38" i="5"/>
  <c r="AH37" i="5"/>
  <c r="AG37" i="5"/>
  <c r="AF37" i="5"/>
  <c r="AH36" i="5"/>
  <c r="AG36" i="5"/>
  <c r="AF36" i="5"/>
  <c r="AH35" i="5"/>
  <c r="AG35" i="5"/>
  <c r="AF35" i="5"/>
  <c r="AH34" i="5"/>
  <c r="AG34" i="5"/>
  <c r="AF34" i="5"/>
  <c r="AH33" i="5"/>
  <c r="AG33" i="5"/>
  <c r="AF33" i="5"/>
  <c r="AH32" i="5"/>
  <c r="AG32" i="5"/>
  <c r="AF32" i="5"/>
  <c r="AH31" i="5"/>
  <c r="AG31" i="5"/>
  <c r="AF31" i="5"/>
  <c r="AH30" i="5"/>
  <c r="AG30" i="5"/>
  <c r="AF30" i="5"/>
  <c r="AH29" i="5"/>
  <c r="AG29" i="5"/>
  <c r="AF29" i="5"/>
  <c r="AH28" i="5"/>
  <c r="AG28" i="5"/>
  <c r="AF28" i="5"/>
  <c r="AH27" i="5"/>
  <c r="AG27" i="5"/>
  <c r="AF27" i="5"/>
  <c r="AH26" i="5"/>
  <c r="AG26" i="5"/>
  <c r="AF26" i="5"/>
  <c r="AH25" i="5"/>
  <c r="AG25" i="5"/>
  <c r="AF25" i="5"/>
  <c r="AH24" i="5"/>
  <c r="AG24" i="5"/>
  <c r="AF24" i="5"/>
  <c r="AH23" i="5"/>
  <c r="AG23" i="5"/>
  <c r="AF23" i="5"/>
  <c r="AH22" i="5"/>
  <c r="AG22" i="5"/>
  <c r="AF22" i="5"/>
  <c r="AH21" i="5"/>
  <c r="AG21" i="5"/>
  <c r="AF21" i="5"/>
  <c r="AH20" i="5"/>
  <c r="AG20" i="5"/>
  <c r="AF20" i="5"/>
  <c r="AH19" i="5"/>
  <c r="AG19" i="5"/>
  <c r="AF19" i="5"/>
  <c r="AH18" i="5"/>
  <c r="AG18" i="5"/>
  <c r="AF18" i="5"/>
  <c r="AH17" i="5"/>
  <c r="AG17" i="5"/>
  <c r="AF17" i="5"/>
  <c r="AH16" i="5"/>
  <c r="AG16" i="5"/>
  <c r="AF16" i="5"/>
  <c r="AH15" i="5"/>
  <c r="AG15" i="5"/>
  <c r="AF15" i="5"/>
  <c r="AH14" i="5"/>
  <c r="AG14" i="5"/>
  <c r="AF14" i="5"/>
  <c r="AH13" i="5"/>
  <c r="AG13" i="5"/>
  <c r="AF13" i="5"/>
  <c r="AH12" i="5"/>
  <c r="AG12" i="5"/>
  <c r="AF12" i="5"/>
  <c r="AH11" i="5"/>
  <c r="AG11" i="5"/>
  <c r="AF11" i="5"/>
  <c r="AH10" i="5"/>
  <c r="AG10" i="5"/>
  <c r="AF10" i="5"/>
  <c r="AH9" i="5"/>
  <c r="AG9" i="5"/>
  <c r="AF9" i="5"/>
  <c r="AH8" i="5"/>
  <c r="AG8" i="5"/>
  <c r="AF8" i="5"/>
  <c r="AH7" i="5"/>
  <c r="AG7" i="5"/>
  <c r="AF7" i="5"/>
  <c r="AH6" i="5"/>
  <c r="AG6" i="5"/>
  <c r="AF6" i="5"/>
  <c r="AH5" i="5"/>
  <c r="AG5" i="5"/>
  <c r="AF5" i="5"/>
  <c r="AH4" i="5"/>
  <c r="AG4" i="5"/>
  <c r="AF4" i="5"/>
  <c r="AH3" i="5"/>
  <c r="AG3" i="5"/>
  <c r="AF3" i="5"/>
  <c r="AH2" i="5"/>
  <c r="AG2" i="5"/>
  <c r="AF2" i="5"/>
  <c r="AF162" i="5" l="1"/>
  <c r="P179" i="5"/>
  <c r="P178" i="5"/>
  <c r="P162" i="5"/>
  <c r="P170" i="5"/>
  <c r="P174" i="5"/>
  <c r="P171" i="5"/>
  <c r="M409" i="1"/>
  <c r="M410" i="1"/>
  <c r="L409" i="1"/>
  <c r="M416" i="1"/>
  <c r="L416" i="1"/>
  <c r="N416" i="1"/>
  <c r="L407" i="1"/>
  <c r="N407" i="1"/>
  <c r="N413" i="1"/>
  <c r="M407" i="1"/>
  <c r="N408" i="1"/>
  <c r="M419" i="1"/>
  <c r="L413" i="1"/>
  <c r="M413" i="1"/>
  <c r="L410" i="1"/>
  <c r="L408" i="1"/>
  <c r="N419" i="1"/>
  <c r="N409" i="1"/>
  <c r="N410" i="1"/>
  <c r="M408" i="1"/>
  <c r="L419" i="1"/>
  <c r="N412" i="1"/>
  <c r="N418" i="1"/>
  <c r="N415" i="1"/>
  <c r="M412" i="1"/>
  <c r="M418" i="1"/>
  <c r="M415" i="1"/>
  <c r="L418" i="1"/>
  <c r="L412" i="1"/>
  <c r="L415" i="1"/>
  <c r="T407" i="1"/>
  <c r="S413" i="1"/>
  <c r="S409" i="1"/>
  <c r="T408" i="1"/>
  <c r="T418" i="1"/>
  <c r="T415" i="1"/>
  <c r="T412" i="1"/>
  <c r="T413" i="1"/>
  <c r="S407" i="1"/>
  <c r="S408" i="1"/>
  <c r="T410" i="1"/>
  <c r="S410" i="1"/>
  <c r="S416" i="1"/>
  <c r="T419" i="1"/>
  <c r="S419" i="1"/>
  <c r="T409" i="1"/>
  <c r="S415" i="1"/>
  <c r="S412" i="1"/>
  <c r="S418" i="1"/>
  <c r="V162" i="5"/>
  <c r="V178" i="5"/>
  <c r="V170" i="5"/>
  <c r="V174" i="5"/>
  <c r="V171" i="5"/>
  <c r="K178" i="5"/>
  <c r="K170" i="5"/>
  <c r="K174" i="5"/>
  <c r="K171" i="5"/>
  <c r="V179" i="5"/>
  <c r="AH162" i="5"/>
  <c r="K179" i="5"/>
  <c r="AG162" i="5"/>
  <c r="K162" i="5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U27" i="1"/>
  <c r="V27" i="1"/>
  <c r="W27" i="1"/>
  <c r="U28" i="1"/>
  <c r="V28" i="1"/>
  <c r="W28" i="1"/>
  <c r="U29" i="1"/>
  <c r="V29" i="1"/>
  <c r="W29" i="1"/>
  <c r="U30" i="1"/>
  <c r="V30" i="1"/>
  <c r="W30" i="1"/>
  <c r="U31" i="1"/>
  <c r="V31" i="1"/>
  <c r="W31" i="1"/>
  <c r="U32" i="1"/>
  <c r="V32" i="1"/>
  <c r="W32" i="1"/>
  <c r="U33" i="1"/>
  <c r="V33" i="1"/>
  <c r="W33" i="1"/>
  <c r="U34" i="1"/>
  <c r="V34" i="1"/>
  <c r="W34" i="1"/>
  <c r="U35" i="1"/>
  <c r="V35" i="1"/>
  <c r="W35" i="1"/>
  <c r="U36" i="1"/>
  <c r="V36" i="1"/>
  <c r="W36" i="1"/>
  <c r="U37" i="1"/>
  <c r="V37" i="1"/>
  <c r="W37" i="1"/>
  <c r="U38" i="1"/>
  <c r="V38" i="1"/>
  <c r="W38" i="1"/>
  <c r="U39" i="1"/>
  <c r="V39" i="1"/>
  <c r="W39" i="1"/>
  <c r="U40" i="1"/>
  <c r="V40" i="1"/>
  <c r="W40" i="1"/>
  <c r="U41" i="1"/>
  <c r="V41" i="1"/>
  <c r="W41" i="1"/>
  <c r="U42" i="1"/>
  <c r="V42" i="1"/>
  <c r="W42" i="1"/>
  <c r="U43" i="1"/>
  <c r="V43" i="1"/>
  <c r="W43" i="1"/>
  <c r="U44" i="1"/>
  <c r="V44" i="1"/>
  <c r="W44" i="1"/>
  <c r="U45" i="1"/>
  <c r="V45" i="1"/>
  <c r="W45" i="1"/>
  <c r="U46" i="1"/>
  <c r="V46" i="1"/>
  <c r="W46" i="1"/>
  <c r="U47" i="1"/>
  <c r="V47" i="1"/>
  <c r="W47" i="1"/>
  <c r="U48" i="1"/>
  <c r="V48" i="1"/>
  <c r="W48" i="1"/>
  <c r="U49" i="1"/>
  <c r="V49" i="1"/>
  <c r="W49" i="1"/>
  <c r="U50" i="1"/>
  <c r="V50" i="1"/>
  <c r="W50" i="1"/>
  <c r="U51" i="1"/>
  <c r="V51" i="1"/>
  <c r="W51" i="1"/>
  <c r="U52" i="1"/>
  <c r="V52" i="1"/>
  <c r="W52" i="1"/>
  <c r="U53" i="1"/>
  <c r="V53" i="1"/>
  <c r="W53" i="1"/>
  <c r="U54" i="1"/>
  <c r="V54" i="1"/>
  <c r="W54" i="1"/>
  <c r="U55" i="1"/>
  <c r="V55" i="1"/>
  <c r="W55" i="1"/>
  <c r="U56" i="1"/>
  <c r="V56" i="1"/>
  <c r="W56" i="1"/>
  <c r="U57" i="1"/>
  <c r="V57" i="1"/>
  <c r="W57" i="1"/>
  <c r="U58" i="1"/>
  <c r="V58" i="1"/>
  <c r="W58" i="1"/>
  <c r="U59" i="1"/>
  <c r="V59" i="1"/>
  <c r="W59" i="1"/>
  <c r="U60" i="1"/>
  <c r="V60" i="1"/>
  <c r="W60" i="1"/>
  <c r="U61" i="1"/>
  <c r="V61" i="1"/>
  <c r="W61" i="1"/>
  <c r="U62" i="1"/>
  <c r="V62" i="1"/>
  <c r="W62" i="1"/>
  <c r="U63" i="1"/>
  <c r="V63" i="1"/>
  <c r="W63" i="1"/>
  <c r="U64" i="1"/>
  <c r="V64" i="1"/>
  <c r="W64" i="1"/>
  <c r="U65" i="1"/>
  <c r="V65" i="1"/>
  <c r="W65" i="1"/>
  <c r="U66" i="1"/>
  <c r="V66" i="1"/>
  <c r="W66" i="1"/>
  <c r="U67" i="1"/>
  <c r="V67" i="1"/>
  <c r="W67" i="1"/>
  <c r="U68" i="1"/>
  <c r="V68" i="1"/>
  <c r="W68" i="1"/>
  <c r="U69" i="1"/>
  <c r="V69" i="1"/>
  <c r="W69" i="1"/>
  <c r="U70" i="1"/>
  <c r="V70" i="1"/>
  <c r="W70" i="1"/>
  <c r="U71" i="1"/>
  <c r="V71" i="1"/>
  <c r="W71" i="1"/>
  <c r="U72" i="1"/>
  <c r="V72" i="1"/>
  <c r="W72" i="1"/>
  <c r="U73" i="1"/>
  <c r="V73" i="1"/>
  <c r="W73" i="1"/>
  <c r="U74" i="1"/>
  <c r="V74" i="1"/>
  <c r="W74" i="1"/>
  <c r="U75" i="1"/>
  <c r="V75" i="1"/>
  <c r="W75" i="1"/>
  <c r="U76" i="1"/>
  <c r="V76" i="1"/>
  <c r="W76" i="1"/>
  <c r="U77" i="1"/>
  <c r="V77" i="1"/>
  <c r="W77" i="1"/>
  <c r="U78" i="1"/>
  <c r="V78" i="1"/>
  <c r="W78" i="1"/>
  <c r="U79" i="1"/>
  <c r="V79" i="1"/>
  <c r="W79" i="1"/>
  <c r="U80" i="1"/>
  <c r="V80" i="1"/>
  <c r="W80" i="1"/>
  <c r="U81" i="1"/>
  <c r="V81" i="1"/>
  <c r="W81" i="1"/>
  <c r="U82" i="1"/>
  <c r="V82" i="1"/>
  <c r="W82" i="1"/>
  <c r="U83" i="1"/>
  <c r="V83" i="1"/>
  <c r="W83" i="1"/>
  <c r="U84" i="1"/>
  <c r="V84" i="1"/>
  <c r="W84" i="1"/>
  <c r="U85" i="1"/>
  <c r="V85" i="1"/>
  <c r="W85" i="1"/>
  <c r="U86" i="1"/>
  <c r="V86" i="1"/>
  <c r="W86" i="1"/>
  <c r="U87" i="1"/>
  <c r="V87" i="1"/>
  <c r="W87" i="1"/>
  <c r="U88" i="1"/>
  <c r="V88" i="1"/>
  <c r="W88" i="1"/>
  <c r="U89" i="1"/>
  <c r="V89" i="1"/>
  <c r="W89" i="1"/>
  <c r="U90" i="1"/>
  <c r="V90" i="1"/>
  <c r="W90" i="1"/>
  <c r="U91" i="1"/>
  <c r="V91" i="1"/>
  <c r="W91" i="1"/>
  <c r="U92" i="1"/>
  <c r="V92" i="1"/>
  <c r="W92" i="1"/>
  <c r="U93" i="1"/>
  <c r="V93" i="1"/>
  <c r="W93" i="1"/>
  <c r="U94" i="1"/>
  <c r="V94" i="1"/>
  <c r="W94" i="1"/>
  <c r="U95" i="1"/>
  <c r="V95" i="1"/>
  <c r="W95" i="1"/>
  <c r="U96" i="1"/>
  <c r="V96" i="1"/>
  <c r="W96" i="1"/>
  <c r="U97" i="1"/>
  <c r="V97" i="1"/>
  <c r="W97" i="1"/>
  <c r="U98" i="1"/>
  <c r="V98" i="1"/>
  <c r="W98" i="1"/>
  <c r="U99" i="1"/>
  <c r="V99" i="1"/>
  <c r="W99" i="1"/>
  <c r="U100" i="1"/>
  <c r="V100" i="1"/>
  <c r="W100" i="1"/>
  <c r="U101" i="1"/>
  <c r="V101" i="1"/>
  <c r="W101" i="1"/>
  <c r="U102" i="1"/>
  <c r="V102" i="1"/>
  <c r="W102" i="1"/>
  <c r="U103" i="1"/>
  <c r="V103" i="1"/>
  <c r="W103" i="1"/>
  <c r="U104" i="1"/>
  <c r="V104" i="1"/>
  <c r="W104" i="1"/>
  <c r="U105" i="1"/>
  <c r="V105" i="1"/>
  <c r="W105" i="1"/>
  <c r="U106" i="1"/>
  <c r="V106" i="1"/>
  <c r="W106" i="1"/>
  <c r="U107" i="1"/>
  <c r="V107" i="1"/>
  <c r="W107" i="1"/>
  <c r="U108" i="1"/>
  <c r="V108" i="1"/>
  <c r="W108" i="1"/>
  <c r="U109" i="1"/>
  <c r="V109" i="1"/>
  <c r="W109" i="1"/>
  <c r="U110" i="1"/>
  <c r="V110" i="1"/>
  <c r="W110" i="1"/>
  <c r="U111" i="1"/>
  <c r="V111" i="1"/>
  <c r="W111" i="1"/>
  <c r="U112" i="1"/>
  <c r="V112" i="1"/>
  <c r="W112" i="1"/>
  <c r="U113" i="1"/>
  <c r="V113" i="1"/>
  <c r="W113" i="1"/>
  <c r="U114" i="1"/>
  <c r="V114" i="1"/>
  <c r="W114" i="1"/>
  <c r="U115" i="1"/>
  <c r="V115" i="1"/>
  <c r="W115" i="1"/>
  <c r="U116" i="1"/>
  <c r="V116" i="1"/>
  <c r="W116" i="1"/>
  <c r="U117" i="1"/>
  <c r="V117" i="1"/>
  <c r="W117" i="1"/>
  <c r="U118" i="1"/>
  <c r="V118" i="1"/>
  <c r="W118" i="1"/>
  <c r="U119" i="1"/>
  <c r="V119" i="1"/>
  <c r="W119" i="1"/>
  <c r="U120" i="1"/>
  <c r="V120" i="1"/>
  <c r="W120" i="1"/>
  <c r="U121" i="1"/>
  <c r="V121" i="1"/>
  <c r="W121" i="1"/>
  <c r="U122" i="1"/>
  <c r="V122" i="1"/>
  <c r="W122" i="1"/>
  <c r="U123" i="1"/>
  <c r="V123" i="1"/>
  <c r="W123" i="1"/>
  <c r="U124" i="1"/>
  <c r="V124" i="1"/>
  <c r="W124" i="1"/>
  <c r="U125" i="1"/>
  <c r="V125" i="1"/>
  <c r="W125" i="1"/>
  <c r="U126" i="1"/>
  <c r="V126" i="1"/>
  <c r="W126" i="1"/>
  <c r="U127" i="1"/>
  <c r="V127" i="1"/>
  <c r="W127" i="1"/>
  <c r="U128" i="1"/>
  <c r="V128" i="1"/>
  <c r="W128" i="1"/>
  <c r="U129" i="1"/>
  <c r="V129" i="1"/>
  <c r="W129" i="1"/>
  <c r="U130" i="1"/>
  <c r="V130" i="1"/>
  <c r="W130" i="1"/>
  <c r="U131" i="1"/>
  <c r="V131" i="1"/>
  <c r="W131" i="1"/>
  <c r="U132" i="1"/>
  <c r="V132" i="1"/>
  <c r="W132" i="1"/>
  <c r="U133" i="1"/>
  <c r="V133" i="1"/>
  <c r="W133" i="1"/>
  <c r="U134" i="1"/>
  <c r="V134" i="1"/>
  <c r="W134" i="1"/>
  <c r="U135" i="1"/>
  <c r="V135" i="1"/>
  <c r="W135" i="1"/>
  <c r="U136" i="1"/>
  <c r="V136" i="1"/>
  <c r="W136" i="1"/>
  <c r="U137" i="1"/>
  <c r="V137" i="1"/>
  <c r="W137" i="1"/>
  <c r="U138" i="1"/>
  <c r="V138" i="1"/>
  <c r="W138" i="1"/>
  <c r="U139" i="1"/>
  <c r="V139" i="1"/>
  <c r="W139" i="1"/>
  <c r="U140" i="1"/>
  <c r="V140" i="1"/>
  <c r="W140" i="1"/>
  <c r="U141" i="1"/>
  <c r="V141" i="1"/>
  <c r="W141" i="1"/>
  <c r="U142" i="1"/>
  <c r="V142" i="1"/>
  <c r="W142" i="1"/>
  <c r="U143" i="1"/>
  <c r="V143" i="1"/>
  <c r="W143" i="1"/>
  <c r="U144" i="1"/>
  <c r="V144" i="1"/>
  <c r="W144" i="1"/>
  <c r="U145" i="1"/>
  <c r="V145" i="1"/>
  <c r="W145" i="1"/>
  <c r="U146" i="1"/>
  <c r="V146" i="1"/>
  <c r="W146" i="1"/>
  <c r="U147" i="1"/>
  <c r="V147" i="1"/>
  <c r="W147" i="1"/>
  <c r="U148" i="1"/>
  <c r="V148" i="1"/>
  <c r="W148" i="1"/>
  <c r="U149" i="1"/>
  <c r="V149" i="1"/>
  <c r="W149" i="1"/>
  <c r="U150" i="1"/>
  <c r="V150" i="1"/>
  <c r="W150" i="1"/>
  <c r="U151" i="1"/>
  <c r="V151" i="1"/>
  <c r="W151" i="1"/>
  <c r="U152" i="1"/>
  <c r="V152" i="1"/>
  <c r="W152" i="1"/>
  <c r="U153" i="1"/>
  <c r="V153" i="1"/>
  <c r="W153" i="1"/>
  <c r="U154" i="1"/>
  <c r="V154" i="1"/>
  <c r="W154" i="1"/>
  <c r="U155" i="1"/>
  <c r="V155" i="1"/>
  <c r="W155" i="1"/>
  <c r="U156" i="1"/>
  <c r="V156" i="1"/>
  <c r="W156" i="1"/>
  <c r="U157" i="1"/>
  <c r="V157" i="1"/>
  <c r="W157" i="1"/>
  <c r="U158" i="1"/>
  <c r="V158" i="1"/>
  <c r="W158" i="1"/>
  <c r="U159" i="1"/>
  <c r="V159" i="1"/>
  <c r="W159" i="1"/>
  <c r="U160" i="1"/>
  <c r="V160" i="1"/>
  <c r="W160" i="1"/>
  <c r="U161" i="1"/>
  <c r="V161" i="1"/>
  <c r="W161" i="1"/>
  <c r="U162" i="1"/>
  <c r="V162" i="1"/>
  <c r="W162" i="1"/>
  <c r="U163" i="1"/>
  <c r="V163" i="1"/>
  <c r="W163" i="1"/>
  <c r="U164" i="1"/>
  <c r="V164" i="1"/>
  <c r="W164" i="1"/>
  <c r="U165" i="1"/>
  <c r="V165" i="1"/>
  <c r="W165" i="1"/>
  <c r="U166" i="1"/>
  <c r="V166" i="1"/>
  <c r="W166" i="1"/>
  <c r="U167" i="1"/>
  <c r="V167" i="1"/>
  <c r="W167" i="1"/>
  <c r="U168" i="1"/>
  <c r="V168" i="1"/>
  <c r="W168" i="1"/>
  <c r="U169" i="1"/>
  <c r="V169" i="1"/>
  <c r="W169" i="1"/>
  <c r="U170" i="1"/>
  <c r="V170" i="1"/>
  <c r="W170" i="1"/>
  <c r="U171" i="1"/>
  <c r="V171" i="1"/>
  <c r="W171" i="1"/>
  <c r="U172" i="1"/>
  <c r="V172" i="1"/>
  <c r="W172" i="1"/>
  <c r="U173" i="1"/>
  <c r="V173" i="1"/>
  <c r="W173" i="1"/>
  <c r="U174" i="1"/>
  <c r="V174" i="1"/>
  <c r="W174" i="1"/>
  <c r="U175" i="1"/>
  <c r="V175" i="1"/>
  <c r="W175" i="1"/>
  <c r="U176" i="1"/>
  <c r="V176" i="1"/>
  <c r="W176" i="1"/>
  <c r="U177" i="1"/>
  <c r="V177" i="1"/>
  <c r="W177" i="1"/>
  <c r="U178" i="1"/>
  <c r="V178" i="1"/>
  <c r="W178" i="1"/>
  <c r="U179" i="1"/>
  <c r="V179" i="1"/>
  <c r="W179" i="1"/>
  <c r="U180" i="1"/>
  <c r="V180" i="1"/>
  <c r="W180" i="1"/>
  <c r="U181" i="1"/>
  <c r="V181" i="1"/>
  <c r="W181" i="1"/>
  <c r="U182" i="1"/>
  <c r="V182" i="1"/>
  <c r="W182" i="1"/>
  <c r="U183" i="1"/>
  <c r="V183" i="1"/>
  <c r="W183" i="1"/>
  <c r="U184" i="1"/>
  <c r="V184" i="1"/>
  <c r="W184" i="1"/>
  <c r="U185" i="1"/>
  <c r="V185" i="1"/>
  <c r="W185" i="1"/>
  <c r="U186" i="1"/>
  <c r="V186" i="1"/>
  <c r="W186" i="1"/>
  <c r="U187" i="1"/>
  <c r="V187" i="1"/>
  <c r="W187" i="1"/>
  <c r="U188" i="1"/>
  <c r="V188" i="1"/>
  <c r="W188" i="1"/>
  <c r="U189" i="1"/>
  <c r="V189" i="1"/>
  <c r="W189" i="1"/>
  <c r="U190" i="1"/>
  <c r="V190" i="1"/>
  <c r="W190" i="1"/>
  <c r="U191" i="1"/>
  <c r="V191" i="1"/>
  <c r="W191" i="1"/>
  <c r="U192" i="1"/>
  <c r="V192" i="1"/>
  <c r="W192" i="1"/>
  <c r="U193" i="1"/>
  <c r="V193" i="1"/>
  <c r="W193" i="1"/>
  <c r="U194" i="1"/>
  <c r="V194" i="1"/>
  <c r="W194" i="1"/>
  <c r="U195" i="1"/>
  <c r="V195" i="1"/>
  <c r="W195" i="1"/>
  <c r="U196" i="1"/>
  <c r="V196" i="1"/>
  <c r="W196" i="1"/>
  <c r="U197" i="1"/>
  <c r="V197" i="1"/>
  <c r="W197" i="1"/>
  <c r="U198" i="1"/>
  <c r="V198" i="1"/>
  <c r="W198" i="1"/>
  <c r="U199" i="1"/>
  <c r="V199" i="1"/>
  <c r="W199" i="1"/>
  <c r="U200" i="1"/>
  <c r="V200" i="1"/>
  <c r="W200" i="1"/>
  <c r="U201" i="1"/>
  <c r="V201" i="1"/>
  <c r="W201" i="1"/>
  <c r="U202" i="1"/>
  <c r="V202" i="1"/>
  <c r="W202" i="1"/>
  <c r="U203" i="1"/>
  <c r="V203" i="1"/>
  <c r="W203" i="1"/>
  <c r="U204" i="1"/>
  <c r="V204" i="1"/>
  <c r="W204" i="1"/>
  <c r="U205" i="1"/>
  <c r="V205" i="1"/>
  <c r="W205" i="1"/>
  <c r="U206" i="1"/>
  <c r="V206" i="1"/>
  <c r="W206" i="1"/>
  <c r="U207" i="1"/>
  <c r="V207" i="1"/>
  <c r="W207" i="1"/>
  <c r="U208" i="1"/>
  <c r="V208" i="1"/>
  <c r="W208" i="1"/>
  <c r="U209" i="1"/>
  <c r="V209" i="1"/>
  <c r="W209" i="1"/>
  <c r="U210" i="1"/>
  <c r="V210" i="1"/>
  <c r="W210" i="1"/>
  <c r="U211" i="1"/>
  <c r="V211" i="1"/>
  <c r="W211" i="1"/>
  <c r="U212" i="1"/>
  <c r="V212" i="1"/>
  <c r="W212" i="1"/>
  <c r="U213" i="1"/>
  <c r="V213" i="1"/>
  <c r="W213" i="1"/>
  <c r="U214" i="1"/>
  <c r="V214" i="1"/>
  <c r="W214" i="1"/>
  <c r="U215" i="1"/>
  <c r="V215" i="1"/>
  <c r="W215" i="1"/>
  <c r="U216" i="1"/>
  <c r="V216" i="1"/>
  <c r="W216" i="1"/>
  <c r="U217" i="1"/>
  <c r="V217" i="1"/>
  <c r="W217" i="1"/>
  <c r="U218" i="1"/>
  <c r="V218" i="1"/>
  <c r="W218" i="1"/>
  <c r="U219" i="1"/>
  <c r="V219" i="1"/>
  <c r="W219" i="1"/>
  <c r="U220" i="1"/>
  <c r="V220" i="1"/>
  <c r="W220" i="1"/>
  <c r="U221" i="1"/>
  <c r="V221" i="1"/>
  <c r="W221" i="1"/>
  <c r="U222" i="1"/>
  <c r="V222" i="1"/>
  <c r="W222" i="1"/>
  <c r="U223" i="1"/>
  <c r="V223" i="1"/>
  <c r="W223" i="1"/>
  <c r="U224" i="1"/>
  <c r="V224" i="1"/>
  <c r="W224" i="1"/>
  <c r="U225" i="1"/>
  <c r="V225" i="1"/>
  <c r="W225" i="1"/>
  <c r="U226" i="1"/>
  <c r="V226" i="1"/>
  <c r="W226" i="1"/>
  <c r="U227" i="1"/>
  <c r="V227" i="1"/>
  <c r="W227" i="1"/>
  <c r="U228" i="1"/>
  <c r="V228" i="1"/>
  <c r="W228" i="1"/>
  <c r="U229" i="1"/>
  <c r="V229" i="1"/>
  <c r="W229" i="1"/>
  <c r="U230" i="1"/>
  <c r="V230" i="1"/>
  <c r="W230" i="1"/>
  <c r="U231" i="1"/>
  <c r="V231" i="1"/>
  <c r="W231" i="1"/>
  <c r="U232" i="1"/>
  <c r="V232" i="1"/>
  <c r="W232" i="1"/>
  <c r="U233" i="1"/>
  <c r="V233" i="1"/>
  <c r="W233" i="1"/>
  <c r="U234" i="1"/>
  <c r="V234" i="1"/>
  <c r="W234" i="1"/>
  <c r="U235" i="1"/>
  <c r="V235" i="1"/>
  <c r="W235" i="1"/>
  <c r="U236" i="1"/>
  <c r="V236" i="1"/>
  <c r="W236" i="1"/>
  <c r="U237" i="1"/>
  <c r="V237" i="1"/>
  <c r="W237" i="1"/>
  <c r="U238" i="1"/>
  <c r="V238" i="1"/>
  <c r="W238" i="1"/>
  <c r="U239" i="1"/>
  <c r="V239" i="1"/>
  <c r="W239" i="1"/>
  <c r="U240" i="1"/>
  <c r="V240" i="1"/>
  <c r="W240" i="1"/>
  <c r="U241" i="1"/>
  <c r="V241" i="1"/>
  <c r="W241" i="1"/>
  <c r="U242" i="1"/>
  <c r="V242" i="1"/>
  <c r="W242" i="1"/>
  <c r="U243" i="1"/>
  <c r="V243" i="1"/>
  <c r="W243" i="1"/>
  <c r="U244" i="1"/>
  <c r="V244" i="1"/>
  <c r="W244" i="1"/>
  <c r="U245" i="1"/>
  <c r="V245" i="1"/>
  <c r="W245" i="1"/>
  <c r="U246" i="1"/>
  <c r="V246" i="1"/>
  <c r="W246" i="1"/>
  <c r="U247" i="1"/>
  <c r="V247" i="1"/>
  <c r="W247" i="1"/>
  <c r="U248" i="1"/>
  <c r="V248" i="1"/>
  <c r="W248" i="1"/>
  <c r="U249" i="1"/>
  <c r="V249" i="1"/>
  <c r="W249" i="1"/>
  <c r="U250" i="1"/>
  <c r="V250" i="1"/>
  <c r="W250" i="1"/>
  <c r="U251" i="1"/>
  <c r="V251" i="1"/>
  <c r="W251" i="1"/>
  <c r="U252" i="1"/>
  <c r="V252" i="1"/>
  <c r="W252" i="1"/>
  <c r="U253" i="1"/>
  <c r="V253" i="1"/>
  <c r="W253" i="1"/>
  <c r="U254" i="1"/>
  <c r="V254" i="1"/>
  <c r="W254" i="1"/>
  <c r="U255" i="1"/>
  <c r="V255" i="1"/>
  <c r="W255" i="1"/>
  <c r="U256" i="1"/>
  <c r="V256" i="1"/>
  <c r="W256" i="1"/>
  <c r="U257" i="1"/>
  <c r="V257" i="1"/>
  <c r="W257" i="1"/>
  <c r="U258" i="1"/>
  <c r="V258" i="1"/>
  <c r="W258" i="1"/>
  <c r="U259" i="1"/>
  <c r="V259" i="1"/>
  <c r="W259" i="1"/>
  <c r="U260" i="1"/>
  <c r="V260" i="1"/>
  <c r="W260" i="1"/>
  <c r="U261" i="1"/>
  <c r="V261" i="1"/>
  <c r="W261" i="1"/>
  <c r="U262" i="1"/>
  <c r="V262" i="1"/>
  <c r="W262" i="1"/>
  <c r="U263" i="1"/>
  <c r="V263" i="1"/>
  <c r="W263" i="1"/>
  <c r="U264" i="1"/>
  <c r="V264" i="1"/>
  <c r="W264" i="1"/>
  <c r="U265" i="1"/>
  <c r="V265" i="1"/>
  <c r="W265" i="1"/>
  <c r="U266" i="1"/>
  <c r="V266" i="1"/>
  <c r="W266" i="1"/>
  <c r="U267" i="1"/>
  <c r="V267" i="1"/>
  <c r="W267" i="1"/>
  <c r="U268" i="1"/>
  <c r="V268" i="1"/>
  <c r="W268" i="1"/>
  <c r="U269" i="1"/>
  <c r="V269" i="1"/>
  <c r="W269" i="1"/>
  <c r="U270" i="1"/>
  <c r="V270" i="1"/>
  <c r="W270" i="1"/>
  <c r="U271" i="1"/>
  <c r="V271" i="1"/>
  <c r="W271" i="1"/>
  <c r="U272" i="1"/>
  <c r="V272" i="1"/>
  <c r="W272" i="1"/>
  <c r="U273" i="1"/>
  <c r="V273" i="1"/>
  <c r="W273" i="1"/>
  <c r="U274" i="1"/>
  <c r="V274" i="1"/>
  <c r="W274" i="1"/>
  <c r="U275" i="1"/>
  <c r="V275" i="1"/>
  <c r="W275" i="1"/>
  <c r="U276" i="1"/>
  <c r="V276" i="1"/>
  <c r="W276" i="1"/>
  <c r="U277" i="1"/>
  <c r="V277" i="1"/>
  <c r="W277" i="1"/>
  <c r="U278" i="1"/>
  <c r="V278" i="1"/>
  <c r="W278" i="1"/>
  <c r="U279" i="1"/>
  <c r="V279" i="1"/>
  <c r="W279" i="1"/>
  <c r="U280" i="1"/>
  <c r="V280" i="1"/>
  <c r="W280" i="1"/>
  <c r="U281" i="1"/>
  <c r="V281" i="1"/>
  <c r="W281" i="1"/>
  <c r="U282" i="1"/>
  <c r="V282" i="1"/>
  <c r="W282" i="1"/>
  <c r="U283" i="1"/>
  <c r="V283" i="1"/>
  <c r="W283" i="1"/>
  <c r="U284" i="1"/>
  <c r="V284" i="1"/>
  <c r="W284" i="1"/>
  <c r="U285" i="1"/>
  <c r="V285" i="1"/>
  <c r="W285" i="1"/>
  <c r="U286" i="1"/>
  <c r="V286" i="1"/>
  <c r="W286" i="1"/>
  <c r="U287" i="1"/>
  <c r="V287" i="1"/>
  <c r="W287" i="1"/>
  <c r="U288" i="1"/>
  <c r="V288" i="1"/>
  <c r="W288" i="1"/>
  <c r="U289" i="1"/>
  <c r="V289" i="1"/>
  <c r="W289" i="1"/>
  <c r="U290" i="1"/>
  <c r="V290" i="1"/>
  <c r="W290" i="1"/>
  <c r="U291" i="1"/>
  <c r="V291" i="1"/>
  <c r="W291" i="1"/>
  <c r="U292" i="1"/>
  <c r="V292" i="1"/>
  <c r="W292" i="1"/>
  <c r="U293" i="1"/>
  <c r="V293" i="1"/>
  <c r="W293" i="1"/>
  <c r="U294" i="1"/>
  <c r="V294" i="1"/>
  <c r="W294" i="1"/>
  <c r="U295" i="1"/>
  <c r="V295" i="1"/>
  <c r="W295" i="1"/>
  <c r="U296" i="1"/>
  <c r="V296" i="1"/>
  <c r="W296" i="1"/>
  <c r="U297" i="1"/>
  <c r="V297" i="1"/>
  <c r="W297" i="1"/>
  <c r="U298" i="1"/>
  <c r="V298" i="1"/>
  <c r="W298" i="1"/>
  <c r="U299" i="1"/>
  <c r="V299" i="1"/>
  <c r="W299" i="1"/>
  <c r="U300" i="1"/>
  <c r="V300" i="1"/>
  <c r="W300" i="1"/>
  <c r="U301" i="1"/>
  <c r="V301" i="1"/>
  <c r="W301" i="1"/>
  <c r="U302" i="1"/>
  <c r="V302" i="1"/>
  <c r="W302" i="1"/>
  <c r="U303" i="1"/>
  <c r="V303" i="1"/>
  <c r="W303" i="1"/>
  <c r="U304" i="1"/>
  <c r="V304" i="1"/>
  <c r="W304" i="1"/>
  <c r="U305" i="1"/>
  <c r="V305" i="1"/>
  <c r="W305" i="1"/>
  <c r="U306" i="1"/>
  <c r="V306" i="1"/>
  <c r="W306" i="1"/>
  <c r="U307" i="1"/>
  <c r="V307" i="1"/>
  <c r="W307" i="1"/>
  <c r="U308" i="1"/>
  <c r="V308" i="1"/>
  <c r="W308" i="1"/>
  <c r="U309" i="1"/>
  <c r="V309" i="1"/>
  <c r="W309" i="1"/>
  <c r="U310" i="1"/>
  <c r="V310" i="1"/>
  <c r="W310" i="1"/>
  <c r="U311" i="1"/>
  <c r="V311" i="1"/>
  <c r="W311" i="1"/>
  <c r="U312" i="1"/>
  <c r="V312" i="1"/>
  <c r="W312" i="1"/>
  <c r="U313" i="1"/>
  <c r="V313" i="1"/>
  <c r="W313" i="1"/>
  <c r="U314" i="1"/>
  <c r="V314" i="1"/>
  <c r="W314" i="1"/>
  <c r="U315" i="1"/>
  <c r="V315" i="1"/>
  <c r="W315" i="1"/>
  <c r="U316" i="1"/>
  <c r="V316" i="1"/>
  <c r="W316" i="1"/>
  <c r="U317" i="1"/>
  <c r="V317" i="1"/>
  <c r="W317" i="1"/>
  <c r="U318" i="1"/>
  <c r="V318" i="1"/>
  <c r="W318" i="1"/>
  <c r="U319" i="1"/>
  <c r="V319" i="1"/>
  <c r="W319" i="1"/>
  <c r="U320" i="1"/>
  <c r="V320" i="1"/>
  <c r="W320" i="1"/>
  <c r="U321" i="1"/>
  <c r="V321" i="1"/>
  <c r="W321" i="1"/>
  <c r="U322" i="1"/>
  <c r="V322" i="1"/>
  <c r="W322" i="1"/>
  <c r="U323" i="1"/>
  <c r="V323" i="1"/>
  <c r="W323" i="1"/>
  <c r="U324" i="1"/>
  <c r="V324" i="1"/>
  <c r="W324" i="1"/>
  <c r="U325" i="1"/>
  <c r="V325" i="1"/>
  <c r="W325" i="1"/>
  <c r="U326" i="1"/>
  <c r="V326" i="1"/>
  <c r="W326" i="1"/>
  <c r="U327" i="1"/>
  <c r="V327" i="1"/>
  <c r="W327" i="1"/>
  <c r="U328" i="1"/>
  <c r="V328" i="1"/>
  <c r="W328" i="1"/>
  <c r="U329" i="1"/>
  <c r="V329" i="1"/>
  <c r="W329" i="1"/>
  <c r="U330" i="1"/>
  <c r="V330" i="1"/>
  <c r="W330" i="1"/>
  <c r="U331" i="1"/>
  <c r="V331" i="1"/>
  <c r="W331" i="1"/>
  <c r="U332" i="1"/>
  <c r="V332" i="1"/>
  <c r="W332" i="1"/>
  <c r="U333" i="1"/>
  <c r="V333" i="1"/>
  <c r="W333" i="1"/>
  <c r="U334" i="1"/>
  <c r="V334" i="1"/>
  <c r="W334" i="1"/>
  <c r="U335" i="1"/>
  <c r="V335" i="1"/>
  <c r="W335" i="1"/>
  <c r="U336" i="1"/>
  <c r="V336" i="1"/>
  <c r="W336" i="1"/>
  <c r="U337" i="1"/>
  <c r="V337" i="1"/>
  <c r="W337" i="1"/>
  <c r="U338" i="1"/>
  <c r="V338" i="1"/>
  <c r="W338" i="1"/>
  <c r="U339" i="1"/>
  <c r="V339" i="1"/>
  <c r="W339" i="1"/>
  <c r="U340" i="1"/>
  <c r="V340" i="1"/>
  <c r="W340" i="1"/>
  <c r="U341" i="1"/>
  <c r="V341" i="1"/>
  <c r="W341" i="1"/>
  <c r="U342" i="1"/>
  <c r="V342" i="1"/>
  <c r="W342" i="1"/>
  <c r="U343" i="1"/>
  <c r="V343" i="1"/>
  <c r="W343" i="1"/>
  <c r="U344" i="1"/>
  <c r="V344" i="1"/>
  <c r="W344" i="1"/>
  <c r="U345" i="1"/>
  <c r="V345" i="1"/>
  <c r="W345" i="1"/>
  <c r="U346" i="1"/>
  <c r="V346" i="1"/>
  <c r="W346" i="1"/>
  <c r="U347" i="1"/>
  <c r="V347" i="1"/>
  <c r="W347" i="1"/>
  <c r="U348" i="1"/>
  <c r="V348" i="1"/>
  <c r="W348" i="1"/>
  <c r="U349" i="1"/>
  <c r="V349" i="1"/>
  <c r="W349" i="1"/>
  <c r="U350" i="1"/>
  <c r="V350" i="1"/>
  <c r="W350" i="1"/>
  <c r="U351" i="1"/>
  <c r="V351" i="1"/>
  <c r="W351" i="1"/>
  <c r="U352" i="1"/>
  <c r="V352" i="1"/>
  <c r="W352" i="1"/>
  <c r="U353" i="1"/>
  <c r="V353" i="1"/>
  <c r="W353" i="1"/>
  <c r="U354" i="1"/>
  <c r="V354" i="1"/>
  <c r="W354" i="1"/>
  <c r="U355" i="1"/>
  <c r="V355" i="1"/>
  <c r="W355" i="1"/>
  <c r="U356" i="1"/>
  <c r="V356" i="1"/>
  <c r="W356" i="1"/>
  <c r="U357" i="1"/>
  <c r="V357" i="1"/>
  <c r="W357" i="1"/>
  <c r="U358" i="1"/>
  <c r="V358" i="1"/>
  <c r="W358" i="1"/>
  <c r="U359" i="1"/>
  <c r="V359" i="1"/>
  <c r="W359" i="1"/>
  <c r="U360" i="1"/>
  <c r="V360" i="1"/>
  <c r="W360" i="1"/>
  <c r="U361" i="1"/>
  <c r="V361" i="1"/>
  <c r="W361" i="1"/>
  <c r="U362" i="1"/>
  <c r="V362" i="1"/>
  <c r="W362" i="1"/>
  <c r="U363" i="1"/>
  <c r="V363" i="1"/>
  <c r="W363" i="1"/>
  <c r="U364" i="1"/>
  <c r="V364" i="1"/>
  <c r="W364" i="1"/>
  <c r="U365" i="1"/>
  <c r="V365" i="1"/>
  <c r="W365" i="1"/>
  <c r="U366" i="1"/>
  <c r="V366" i="1"/>
  <c r="W366" i="1"/>
  <c r="U367" i="1"/>
  <c r="V367" i="1"/>
  <c r="W367" i="1"/>
  <c r="U368" i="1"/>
  <c r="V368" i="1"/>
  <c r="W368" i="1"/>
  <c r="U369" i="1"/>
  <c r="V369" i="1"/>
  <c r="W369" i="1"/>
  <c r="U370" i="1"/>
  <c r="V370" i="1"/>
  <c r="W370" i="1"/>
  <c r="U371" i="1"/>
  <c r="V371" i="1"/>
  <c r="W371" i="1"/>
  <c r="U372" i="1"/>
  <c r="V372" i="1"/>
  <c r="W372" i="1"/>
  <c r="U373" i="1"/>
  <c r="V373" i="1"/>
  <c r="W373" i="1"/>
  <c r="U374" i="1"/>
  <c r="V374" i="1"/>
  <c r="W374" i="1"/>
  <c r="U375" i="1"/>
  <c r="V375" i="1"/>
  <c r="W375" i="1"/>
  <c r="U376" i="1"/>
  <c r="V376" i="1"/>
  <c r="W376" i="1"/>
  <c r="U377" i="1"/>
  <c r="V377" i="1"/>
  <c r="W377" i="1"/>
  <c r="U378" i="1"/>
  <c r="V378" i="1"/>
  <c r="W378" i="1"/>
  <c r="U379" i="1"/>
  <c r="V379" i="1"/>
  <c r="W379" i="1"/>
  <c r="U380" i="1"/>
  <c r="V380" i="1"/>
  <c r="W380" i="1"/>
  <c r="U381" i="1"/>
  <c r="V381" i="1"/>
  <c r="W381" i="1"/>
  <c r="U382" i="1"/>
  <c r="V382" i="1"/>
  <c r="W382" i="1"/>
  <c r="U383" i="1"/>
  <c r="V383" i="1"/>
  <c r="W383" i="1"/>
  <c r="U384" i="1"/>
  <c r="V384" i="1"/>
  <c r="W384" i="1"/>
  <c r="U385" i="1"/>
  <c r="V385" i="1"/>
  <c r="W385" i="1"/>
  <c r="U386" i="1"/>
  <c r="V386" i="1"/>
  <c r="W386" i="1"/>
  <c r="U387" i="1"/>
  <c r="V387" i="1"/>
  <c r="W387" i="1"/>
  <c r="U388" i="1"/>
  <c r="V388" i="1"/>
  <c r="W388" i="1"/>
  <c r="U389" i="1"/>
  <c r="V389" i="1"/>
  <c r="W389" i="1"/>
  <c r="U390" i="1"/>
  <c r="V390" i="1"/>
  <c r="W390" i="1"/>
  <c r="U391" i="1"/>
  <c r="V391" i="1"/>
  <c r="W391" i="1"/>
  <c r="U392" i="1"/>
  <c r="V392" i="1"/>
  <c r="W392" i="1"/>
  <c r="U393" i="1"/>
  <c r="V393" i="1"/>
  <c r="W393" i="1"/>
  <c r="U394" i="1"/>
  <c r="V394" i="1"/>
  <c r="W394" i="1"/>
  <c r="U395" i="1"/>
  <c r="V395" i="1"/>
  <c r="W395" i="1"/>
  <c r="U396" i="1"/>
  <c r="V396" i="1"/>
  <c r="W396" i="1"/>
  <c r="U397" i="1"/>
  <c r="V397" i="1"/>
  <c r="W397" i="1"/>
  <c r="U398" i="1"/>
  <c r="V398" i="1"/>
  <c r="W398" i="1"/>
  <c r="U399" i="1"/>
  <c r="V399" i="1"/>
  <c r="W399" i="1"/>
  <c r="U400" i="1"/>
  <c r="V400" i="1"/>
  <c r="W400" i="1"/>
  <c r="U401" i="1"/>
  <c r="V401" i="1"/>
  <c r="W401" i="1"/>
  <c r="M420" i="1" l="1"/>
  <c r="N420" i="1"/>
  <c r="L420" i="1"/>
  <c r="T420" i="1"/>
  <c r="S420" i="1"/>
  <c r="Z3" i="5"/>
  <c r="AA3" i="5"/>
  <c r="AB3" i="5"/>
  <c r="Z4" i="5"/>
  <c r="AA4" i="5"/>
  <c r="AB4" i="5"/>
  <c r="Z5" i="5"/>
  <c r="AA5" i="5"/>
  <c r="AB5" i="5"/>
  <c r="Z6" i="5"/>
  <c r="AA6" i="5"/>
  <c r="AB6" i="5"/>
  <c r="Z7" i="5"/>
  <c r="AA7" i="5"/>
  <c r="AB7" i="5"/>
  <c r="Z8" i="5"/>
  <c r="AA8" i="5"/>
  <c r="AB8" i="5"/>
  <c r="Z9" i="5"/>
  <c r="AA9" i="5"/>
  <c r="AB9" i="5"/>
  <c r="Z10" i="5"/>
  <c r="AA10" i="5"/>
  <c r="AB10" i="5"/>
  <c r="Z11" i="5"/>
  <c r="AA11" i="5"/>
  <c r="AB11" i="5"/>
  <c r="Z12" i="5"/>
  <c r="AA12" i="5"/>
  <c r="AB12" i="5"/>
  <c r="Z13" i="5"/>
  <c r="AA13" i="5"/>
  <c r="AB13" i="5"/>
  <c r="Z14" i="5"/>
  <c r="AA14" i="5"/>
  <c r="AB14" i="5"/>
  <c r="Z15" i="5"/>
  <c r="AA15" i="5"/>
  <c r="AB15" i="5"/>
  <c r="Z16" i="5"/>
  <c r="AA16" i="5"/>
  <c r="AB16" i="5"/>
  <c r="Z17" i="5"/>
  <c r="AA17" i="5"/>
  <c r="AB17" i="5"/>
  <c r="Z18" i="5"/>
  <c r="AA18" i="5"/>
  <c r="AB18" i="5"/>
  <c r="Z19" i="5"/>
  <c r="AA19" i="5"/>
  <c r="AB19" i="5"/>
  <c r="Z20" i="5"/>
  <c r="AA20" i="5"/>
  <c r="AB20" i="5"/>
  <c r="Z21" i="5"/>
  <c r="AA21" i="5"/>
  <c r="AB21" i="5"/>
  <c r="Z22" i="5"/>
  <c r="AA22" i="5"/>
  <c r="AB22" i="5"/>
  <c r="Z23" i="5"/>
  <c r="AA23" i="5"/>
  <c r="AB23" i="5"/>
  <c r="Z24" i="5"/>
  <c r="AA24" i="5"/>
  <c r="AB24" i="5"/>
  <c r="Z25" i="5"/>
  <c r="AA25" i="5"/>
  <c r="AB25" i="5"/>
  <c r="Z26" i="5"/>
  <c r="AA26" i="5"/>
  <c r="AB26" i="5"/>
  <c r="Z27" i="5"/>
  <c r="AA27" i="5"/>
  <c r="AB27" i="5"/>
  <c r="Z28" i="5"/>
  <c r="AA28" i="5"/>
  <c r="AB28" i="5"/>
  <c r="Z29" i="5"/>
  <c r="AA29" i="5"/>
  <c r="AB29" i="5"/>
  <c r="Z30" i="5"/>
  <c r="AA30" i="5"/>
  <c r="AB30" i="5"/>
  <c r="Z31" i="5"/>
  <c r="AA31" i="5"/>
  <c r="AB31" i="5"/>
  <c r="Z32" i="5"/>
  <c r="AA32" i="5"/>
  <c r="AB32" i="5"/>
  <c r="Z33" i="5"/>
  <c r="AA33" i="5"/>
  <c r="AB33" i="5"/>
  <c r="Z34" i="5"/>
  <c r="AA34" i="5"/>
  <c r="AB34" i="5"/>
  <c r="Z35" i="5"/>
  <c r="AA35" i="5"/>
  <c r="AB35" i="5"/>
  <c r="Z36" i="5"/>
  <c r="AA36" i="5"/>
  <c r="AB36" i="5"/>
  <c r="Z37" i="5"/>
  <c r="AA37" i="5"/>
  <c r="AB37" i="5"/>
  <c r="Z38" i="5"/>
  <c r="AA38" i="5"/>
  <c r="AB38" i="5"/>
  <c r="Z39" i="5"/>
  <c r="AA39" i="5"/>
  <c r="AB39" i="5"/>
  <c r="Z40" i="5"/>
  <c r="AA40" i="5"/>
  <c r="AB40" i="5"/>
  <c r="Z41" i="5"/>
  <c r="AA41" i="5"/>
  <c r="AB41" i="5"/>
  <c r="Z42" i="5"/>
  <c r="AA42" i="5"/>
  <c r="AB42" i="5"/>
  <c r="Z43" i="5"/>
  <c r="AA43" i="5"/>
  <c r="AB43" i="5"/>
  <c r="Z44" i="5"/>
  <c r="AA44" i="5"/>
  <c r="AB44" i="5"/>
  <c r="Z45" i="5"/>
  <c r="AA45" i="5"/>
  <c r="AB45" i="5"/>
  <c r="Z46" i="5"/>
  <c r="AA46" i="5"/>
  <c r="AB46" i="5"/>
  <c r="Z47" i="5"/>
  <c r="AA47" i="5"/>
  <c r="AB47" i="5"/>
  <c r="Z48" i="5"/>
  <c r="AA48" i="5"/>
  <c r="AB48" i="5"/>
  <c r="Z49" i="5"/>
  <c r="AA49" i="5"/>
  <c r="AB49" i="5"/>
  <c r="Z50" i="5"/>
  <c r="AA50" i="5"/>
  <c r="AB50" i="5"/>
  <c r="Z51" i="5"/>
  <c r="AA51" i="5"/>
  <c r="AB51" i="5"/>
  <c r="Z52" i="5"/>
  <c r="AA52" i="5"/>
  <c r="AB52" i="5"/>
  <c r="Z53" i="5"/>
  <c r="AA53" i="5"/>
  <c r="AB53" i="5"/>
  <c r="Z54" i="5"/>
  <c r="AA54" i="5"/>
  <c r="AB54" i="5"/>
  <c r="Z55" i="5"/>
  <c r="AA55" i="5"/>
  <c r="AB55" i="5"/>
  <c r="Z56" i="5"/>
  <c r="AA56" i="5"/>
  <c r="AB56" i="5"/>
  <c r="Z57" i="5"/>
  <c r="AA57" i="5"/>
  <c r="AB57" i="5"/>
  <c r="Z58" i="5"/>
  <c r="AA58" i="5"/>
  <c r="AB58" i="5"/>
  <c r="Z59" i="5"/>
  <c r="AA59" i="5"/>
  <c r="AB59" i="5"/>
  <c r="Z60" i="5"/>
  <c r="AA60" i="5"/>
  <c r="AB60" i="5"/>
  <c r="Z61" i="5"/>
  <c r="AA61" i="5"/>
  <c r="AB61" i="5"/>
  <c r="Z62" i="5"/>
  <c r="AA62" i="5"/>
  <c r="AB62" i="5"/>
  <c r="Z63" i="5"/>
  <c r="AA63" i="5"/>
  <c r="AB63" i="5"/>
  <c r="Z64" i="5"/>
  <c r="AA64" i="5"/>
  <c r="AB64" i="5"/>
  <c r="Z65" i="5"/>
  <c r="AA65" i="5"/>
  <c r="AB65" i="5"/>
  <c r="Z66" i="5"/>
  <c r="AA66" i="5"/>
  <c r="AB66" i="5"/>
  <c r="Z67" i="5"/>
  <c r="AA67" i="5"/>
  <c r="AB67" i="5"/>
  <c r="Z68" i="5"/>
  <c r="AA68" i="5"/>
  <c r="AB68" i="5"/>
  <c r="Z69" i="5"/>
  <c r="AA69" i="5"/>
  <c r="AB69" i="5"/>
  <c r="Z70" i="5"/>
  <c r="AA70" i="5"/>
  <c r="AB70" i="5"/>
  <c r="Z71" i="5"/>
  <c r="AA71" i="5"/>
  <c r="AB71" i="5"/>
  <c r="Z72" i="5"/>
  <c r="AA72" i="5"/>
  <c r="AB72" i="5"/>
  <c r="Z73" i="5"/>
  <c r="AA73" i="5"/>
  <c r="AB73" i="5"/>
  <c r="Z74" i="5"/>
  <c r="AA74" i="5"/>
  <c r="AB74" i="5"/>
  <c r="Z75" i="5"/>
  <c r="AA75" i="5"/>
  <c r="AB75" i="5"/>
  <c r="Z76" i="5"/>
  <c r="AA76" i="5"/>
  <c r="AB76" i="5"/>
  <c r="Z77" i="5"/>
  <c r="AA77" i="5"/>
  <c r="AB77" i="5"/>
  <c r="Z78" i="5"/>
  <c r="AA78" i="5"/>
  <c r="AB78" i="5"/>
  <c r="Z79" i="5"/>
  <c r="AA79" i="5"/>
  <c r="AB79" i="5"/>
  <c r="Z80" i="5"/>
  <c r="AA80" i="5"/>
  <c r="AB80" i="5"/>
  <c r="Z81" i="5"/>
  <c r="AA81" i="5"/>
  <c r="AB81" i="5"/>
  <c r="Z82" i="5"/>
  <c r="AA82" i="5"/>
  <c r="AB82" i="5"/>
  <c r="Z83" i="5"/>
  <c r="AA83" i="5"/>
  <c r="AB83" i="5"/>
  <c r="Z84" i="5"/>
  <c r="AA84" i="5"/>
  <c r="AB84" i="5"/>
  <c r="Z85" i="5"/>
  <c r="AA85" i="5"/>
  <c r="AB85" i="5"/>
  <c r="Z86" i="5"/>
  <c r="AA86" i="5"/>
  <c r="AB86" i="5"/>
  <c r="Z87" i="5"/>
  <c r="AA87" i="5"/>
  <c r="AB87" i="5"/>
  <c r="Z88" i="5"/>
  <c r="AA88" i="5"/>
  <c r="AB88" i="5"/>
  <c r="Z89" i="5"/>
  <c r="AA89" i="5"/>
  <c r="AB89" i="5"/>
  <c r="Z90" i="5"/>
  <c r="AA90" i="5"/>
  <c r="AB90" i="5"/>
  <c r="Z91" i="5"/>
  <c r="AA91" i="5"/>
  <c r="AB91" i="5"/>
  <c r="Z92" i="5"/>
  <c r="AA92" i="5"/>
  <c r="AB92" i="5"/>
  <c r="Z93" i="5"/>
  <c r="AA93" i="5"/>
  <c r="AB93" i="5"/>
  <c r="Z94" i="5"/>
  <c r="AA94" i="5"/>
  <c r="AB94" i="5"/>
  <c r="Z95" i="5"/>
  <c r="AA95" i="5"/>
  <c r="AB95" i="5"/>
  <c r="Z96" i="5"/>
  <c r="AA96" i="5"/>
  <c r="AB96" i="5"/>
  <c r="Z97" i="5"/>
  <c r="AA97" i="5"/>
  <c r="AB97" i="5"/>
  <c r="Z98" i="5"/>
  <c r="AA98" i="5"/>
  <c r="AB98" i="5"/>
  <c r="Z99" i="5"/>
  <c r="AA99" i="5"/>
  <c r="AB99" i="5"/>
  <c r="Z100" i="5"/>
  <c r="AA100" i="5"/>
  <c r="AB100" i="5"/>
  <c r="Z101" i="5"/>
  <c r="AA101" i="5"/>
  <c r="AB101" i="5"/>
  <c r="Z102" i="5"/>
  <c r="AA102" i="5"/>
  <c r="AB102" i="5"/>
  <c r="Z103" i="5"/>
  <c r="AA103" i="5"/>
  <c r="AB103" i="5"/>
  <c r="Z104" i="5"/>
  <c r="AA104" i="5"/>
  <c r="AB104" i="5"/>
  <c r="Z105" i="5"/>
  <c r="AA105" i="5"/>
  <c r="AB105" i="5"/>
  <c r="Z106" i="5"/>
  <c r="AA106" i="5"/>
  <c r="AB106" i="5"/>
  <c r="Z107" i="5"/>
  <c r="AA107" i="5"/>
  <c r="AB107" i="5"/>
  <c r="Z108" i="5"/>
  <c r="AA108" i="5"/>
  <c r="AB108" i="5"/>
  <c r="Z109" i="5"/>
  <c r="AA109" i="5"/>
  <c r="AB109" i="5"/>
  <c r="Z110" i="5"/>
  <c r="AA110" i="5"/>
  <c r="AB110" i="5"/>
  <c r="Z111" i="5"/>
  <c r="AA111" i="5"/>
  <c r="AB111" i="5"/>
  <c r="Z112" i="5"/>
  <c r="AA112" i="5"/>
  <c r="AB112" i="5"/>
  <c r="Z113" i="5"/>
  <c r="AA113" i="5"/>
  <c r="AB113" i="5"/>
  <c r="Z114" i="5"/>
  <c r="AA114" i="5"/>
  <c r="AB114" i="5"/>
  <c r="Z115" i="5"/>
  <c r="AA115" i="5"/>
  <c r="AB115" i="5"/>
  <c r="Z116" i="5"/>
  <c r="AA116" i="5"/>
  <c r="AB116" i="5"/>
  <c r="Z117" i="5"/>
  <c r="AA117" i="5"/>
  <c r="AB117" i="5"/>
  <c r="Z118" i="5"/>
  <c r="AA118" i="5"/>
  <c r="AB118" i="5"/>
  <c r="Z119" i="5"/>
  <c r="AA119" i="5"/>
  <c r="AB119" i="5"/>
  <c r="Z120" i="5"/>
  <c r="AA120" i="5"/>
  <c r="AB120" i="5"/>
  <c r="Z121" i="5"/>
  <c r="AA121" i="5"/>
  <c r="AB121" i="5"/>
  <c r="Z122" i="5"/>
  <c r="AA122" i="5"/>
  <c r="AB122" i="5"/>
  <c r="Z123" i="5"/>
  <c r="AA123" i="5"/>
  <c r="AB123" i="5"/>
  <c r="Z124" i="5"/>
  <c r="AA124" i="5"/>
  <c r="AB124" i="5"/>
  <c r="Z125" i="5"/>
  <c r="AA125" i="5"/>
  <c r="AB125" i="5"/>
  <c r="Z126" i="5"/>
  <c r="AA126" i="5"/>
  <c r="AB126" i="5"/>
  <c r="Z127" i="5"/>
  <c r="AA127" i="5"/>
  <c r="AB127" i="5"/>
  <c r="Z128" i="5"/>
  <c r="AA128" i="5"/>
  <c r="AB128" i="5"/>
  <c r="Z129" i="5"/>
  <c r="AA129" i="5"/>
  <c r="AB129" i="5"/>
  <c r="Z130" i="5"/>
  <c r="AA130" i="5"/>
  <c r="AB130" i="5"/>
  <c r="Z131" i="5"/>
  <c r="AA131" i="5"/>
  <c r="AB131" i="5"/>
  <c r="Z132" i="5"/>
  <c r="AA132" i="5"/>
  <c r="AB132" i="5"/>
  <c r="Z133" i="5"/>
  <c r="AA133" i="5"/>
  <c r="AB133" i="5"/>
  <c r="Z134" i="5"/>
  <c r="AA134" i="5"/>
  <c r="AB134" i="5"/>
  <c r="Z135" i="5"/>
  <c r="AA135" i="5"/>
  <c r="AB135" i="5"/>
  <c r="Z136" i="5"/>
  <c r="AA136" i="5"/>
  <c r="AB136" i="5"/>
  <c r="Z137" i="5"/>
  <c r="AA137" i="5"/>
  <c r="AB137" i="5"/>
  <c r="Z138" i="5"/>
  <c r="AA138" i="5"/>
  <c r="AB138" i="5"/>
  <c r="Z139" i="5"/>
  <c r="AA139" i="5"/>
  <c r="AB139" i="5"/>
  <c r="Z140" i="5"/>
  <c r="AA140" i="5"/>
  <c r="AB140" i="5"/>
  <c r="Z141" i="5"/>
  <c r="AA141" i="5"/>
  <c r="AB141" i="5"/>
  <c r="Z142" i="5"/>
  <c r="AA142" i="5"/>
  <c r="AB142" i="5"/>
  <c r="Z143" i="5"/>
  <c r="AA143" i="5"/>
  <c r="AB143" i="5"/>
  <c r="Z144" i="5"/>
  <c r="AA144" i="5"/>
  <c r="AB144" i="5"/>
  <c r="Z145" i="5"/>
  <c r="AA145" i="5"/>
  <c r="AB145" i="5"/>
  <c r="Z146" i="5"/>
  <c r="AA146" i="5"/>
  <c r="AB146" i="5"/>
  <c r="Z147" i="5"/>
  <c r="AA147" i="5"/>
  <c r="AB147" i="5"/>
  <c r="Z148" i="5"/>
  <c r="AA148" i="5"/>
  <c r="AB148" i="5"/>
  <c r="Z149" i="5"/>
  <c r="AA149" i="5"/>
  <c r="AB149" i="5"/>
  <c r="Z150" i="5"/>
  <c r="AA150" i="5"/>
  <c r="AB150" i="5"/>
  <c r="Z151" i="5"/>
  <c r="AA151" i="5"/>
  <c r="AB151" i="5"/>
  <c r="Z152" i="5"/>
  <c r="AA152" i="5"/>
  <c r="AB152" i="5"/>
  <c r="Z153" i="5"/>
  <c r="AA153" i="5"/>
  <c r="AB153" i="5"/>
  <c r="Z154" i="5"/>
  <c r="AA154" i="5"/>
  <c r="AB154" i="5"/>
  <c r="Z155" i="5"/>
  <c r="AA155" i="5"/>
  <c r="AB155" i="5"/>
  <c r="Z156" i="5"/>
  <c r="AA156" i="5"/>
  <c r="AB156" i="5"/>
  <c r="Z157" i="5"/>
  <c r="AA157" i="5"/>
  <c r="AB157" i="5"/>
  <c r="Z158" i="5"/>
  <c r="AA158" i="5"/>
  <c r="AB158" i="5"/>
  <c r="Z159" i="5"/>
  <c r="AA159" i="5"/>
  <c r="AB159" i="5"/>
  <c r="Z160" i="5"/>
  <c r="AA160" i="5"/>
  <c r="AB160" i="5"/>
  <c r="Z161" i="5"/>
  <c r="AA161" i="5"/>
  <c r="AB161" i="5"/>
  <c r="AB2" i="5"/>
  <c r="Z2" i="5"/>
  <c r="AA2" i="5"/>
  <c r="B2" i="5"/>
  <c r="P166" i="5" l="1"/>
  <c r="P167" i="5"/>
  <c r="O167" i="5"/>
  <c r="J166" i="5"/>
  <c r="K167" i="5"/>
  <c r="G2" i="5"/>
  <c r="U166" i="5"/>
  <c r="V167" i="5"/>
  <c r="J167" i="5"/>
  <c r="U167" i="5"/>
  <c r="K166" i="5"/>
  <c r="O166" i="5"/>
  <c r="V166" i="5"/>
  <c r="AB162" i="5"/>
  <c r="AA162" i="5"/>
  <c r="Z162" i="5"/>
  <c r="B2" i="3"/>
  <c r="P190" i="5" l="1"/>
  <c r="P198" i="5"/>
  <c r="P191" i="5"/>
  <c r="P199" i="5"/>
  <c r="P188" i="5"/>
  <c r="P184" i="5"/>
  <c r="P192" i="5"/>
  <c r="P194" i="5"/>
  <c r="P196" i="5"/>
  <c r="P197" i="5"/>
  <c r="P185" i="5"/>
  <c r="P193" i="5"/>
  <c r="P186" i="5"/>
  <c r="P189" i="5"/>
  <c r="P187" i="5"/>
  <c r="P195" i="5"/>
  <c r="V197" i="5"/>
  <c r="V193" i="5"/>
  <c r="V189" i="5"/>
  <c r="V185" i="5"/>
  <c r="O195" i="5"/>
  <c r="O187" i="5"/>
  <c r="J187" i="5"/>
  <c r="J191" i="5"/>
  <c r="J195" i="5"/>
  <c r="J199" i="5"/>
  <c r="U197" i="5"/>
  <c r="U193" i="5"/>
  <c r="U189" i="5"/>
  <c r="U185" i="5"/>
  <c r="O194" i="5"/>
  <c r="O186" i="5"/>
  <c r="K187" i="5"/>
  <c r="K191" i="5"/>
  <c r="K195" i="5"/>
  <c r="K199" i="5"/>
  <c r="V196" i="5"/>
  <c r="V192" i="5"/>
  <c r="V188" i="5"/>
  <c r="V184" i="5"/>
  <c r="O193" i="5"/>
  <c r="O185" i="5"/>
  <c r="J188" i="5"/>
  <c r="J192" i="5"/>
  <c r="J196" i="5"/>
  <c r="K184" i="5"/>
  <c r="U196" i="5"/>
  <c r="U192" i="5"/>
  <c r="U188" i="5"/>
  <c r="U184" i="5"/>
  <c r="O192" i="5"/>
  <c r="O184" i="5"/>
  <c r="K188" i="5"/>
  <c r="K192" i="5"/>
  <c r="K196" i="5"/>
  <c r="J184" i="5"/>
  <c r="V199" i="5"/>
  <c r="V195" i="5"/>
  <c r="V191" i="5"/>
  <c r="V187" i="5"/>
  <c r="O199" i="5"/>
  <c r="O191" i="5"/>
  <c r="J185" i="5"/>
  <c r="J189" i="5"/>
  <c r="J193" i="5"/>
  <c r="J197" i="5"/>
  <c r="U199" i="5"/>
  <c r="U195" i="5"/>
  <c r="U191" i="5"/>
  <c r="U187" i="5"/>
  <c r="O198" i="5"/>
  <c r="O190" i="5"/>
  <c r="K185" i="5"/>
  <c r="K189" i="5"/>
  <c r="K193" i="5"/>
  <c r="K197" i="5"/>
  <c r="V198" i="5"/>
  <c r="V194" i="5"/>
  <c r="V190" i="5"/>
  <c r="V186" i="5"/>
  <c r="O197" i="5"/>
  <c r="O189" i="5"/>
  <c r="J186" i="5"/>
  <c r="J190" i="5"/>
  <c r="J194" i="5"/>
  <c r="J198" i="5"/>
  <c r="U198" i="5"/>
  <c r="U194" i="5"/>
  <c r="U190" i="5"/>
  <c r="U186" i="5"/>
  <c r="O196" i="5"/>
  <c r="O188" i="5"/>
  <c r="K186" i="5"/>
  <c r="K190" i="5"/>
  <c r="K194" i="5"/>
  <c r="K198" i="5"/>
  <c r="U2" i="1"/>
  <c r="V2" i="1"/>
  <c r="W2" i="1"/>
  <c r="U3" i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200" i="5" l="1"/>
  <c r="K200" i="5"/>
  <c r="P200" i="5"/>
  <c r="O200" i="5"/>
  <c r="V200" i="5"/>
  <c r="J200" i="5"/>
  <c r="W402" i="1"/>
  <c r="V402" i="1"/>
  <c r="U402" i="1"/>
</calcChain>
</file>

<file path=xl/sharedStrings.xml><?xml version="1.0" encoding="utf-8"?>
<sst xmlns="http://schemas.openxmlformats.org/spreadsheetml/2006/main" count="5112" uniqueCount="1086">
  <si>
    <t>filename</t>
  </si>
  <si>
    <t xml:space="preserve"> </t>
  </si>
  <si>
    <t xml:space="preserve"> N20_P(10-20)_S(5-10)_A(20-40)_W10_Wo5_P1.txt</t>
  </si>
  <si>
    <t xml:space="preserve"> N20_P(10-20)_S(5-10)_A(20-40)_W10_Wo5_P2.txt</t>
  </si>
  <si>
    <t xml:space="preserve"> N20_P(10-20)_S(5-10)_A(20-40)_W10_Wo5_P3.txt</t>
  </si>
  <si>
    <t xml:space="preserve"> N20_P(10-20)_S(5-10)_A(20-40)_W10_Wo5_P4.txt</t>
  </si>
  <si>
    <t xml:space="preserve"> N20_P(10-20)_S(5-10)_A(20-40)_W10_Wo5_P5.txt</t>
  </si>
  <si>
    <t xml:space="preserve"> N20_P(10-20)_S(5-10)_A(20-40)_W10_Wo5_P6.txt</t>
  </si>
  <si>
    <t xml:space="preserve"> N20_P(10-20)_S(5-10)_A(20-40)_W10_Wo5_P8.txt</t>
  </si>
  <si>
    <t xml:space="preserve"> N20_P(10-20)_S(5-10)_A(20-40)_W10_Wo5_P9.txt</t>
  </si>
  <si>
    <t xml:space="preserve"> N20_P(10-20)_S(5-10)_A(20-40)_W10_Wo5_P10.txt</t>
  </si>
  <si>
    <t xml:space="preserve"> N20_P(10-20)_S(5-10)_A(40-60)_W10_Wo5_P1.txt</t>
  </si>
  <si>
    <t xml:space="preserve"> N20_P(10-20)_S(5-10)_A(40-60)_W10_Wo5_P2.txt</t>
  </si>
  <si>
    <t xml:space="preserve"> N20_P(10-20)_S(5-10)_A(40-60)_W10_Wo5_P3.txt</t>
  </si>
  <si>
    <t xml:space="preserve"> N20_P(10-20)_S(5-10)_A(40-60)_W10_Wo5_P4.txt</t>
  </si>
  <si>
    <t xml:space="preserve"> N20_P(10-20)_S(5-10)_A(40-60)_W10_Wo5_P6.txt</t>
  </si>
  <si>
    <t xml:space="preserve"> N20_P(10-20)_S(5-10)_A(40-60)_W10_Wo5_P7.txt</t>
  </si>
  <si>
    <t xml:space="preserve"> N20_P(10-20)_S(5-10)_A(40-60)_W10_Wo5_P8.txt</t>
  </si>
  <si>
    <t xml:space="preserve"> N20_P(10-20)_S(5-10)_A(40-60)_W10_Wo5_P10.txt</t>
  </si>
  <si>
    <t xml:space="preserve"> N20_P(10-20)_S(10-15)_A(20-40)_W10_Wo5_P1.txt</t>
  </si>
  <si>
    <t xml:space="preserve"> N20_P(10-20)_S(10-15)_A(20-40)_W10_Wo5_P2.txt</t>
  </si>
  <si>
    <t xml:space="preserve"> N20_P(10-20)_S(10-15)_A(20-40)_W10_Wo5_P3.txt</t>
  </si>
  <si>
    <t xml:space="preserve"> N20_P(10-20)_S(10-15)_A(20-40)_W10_Wo5_P4.txt</t>
  </si>
  <si>
    <t xml:space="preserve"> N20_P(10-20)_S(10-15)_A(20-40)_W10_Wo5_P5.txt</t>
  </si>
  <si>
    <t xml:space="preserve"> N20_P(10-20)_S(10-15)_A(20-40)_W10_Wo5_P6.txt</t>
  </si>
  <si>
    <t xml:space="preserve"> N20_P(10-20)_S(10-15)_A(20-40)_W10_Wo5_P7.txt</t>
  </si>
  <si>
    <t xml:space="preserve"> N20_P(10-20)_S(10-15)_A(20-40)_W10_Wo5_P8.txt</t>
  </si>
  <si>
    <t xml:space="preserve"> N20_P(10-20)_S(10-15)_A(20-40)_W10_Wo5_P9.txt</t>
  </si>
  <si>
    <t xml:space="preserve"> N20_P(10-20)_S(10-15)_A(20-40)_W10_Wo5_P10.txt</t>
  </si>
  <si>
    <t xml:space="preserve"> N20_P(10-20)_S(10-15)_A(40-60)_W10_Wo5_P1.txt</t>
  </si>
  <si>
    <t xml:space="preserve"> N20_P(10-20)_S(10-15)_A(40-60)_W10_Wo5_P2.txt</t>
  </si>
  <si>
    <t xml:space="preserve"> N20_P(10-20)_S(10-15)_A(40-60)_W10_Wo5_P3.txt</t>
  </si>
  <si>
    <t xml:space="preserve"> N20_P(10-20)_S(10-15)_A(40-60)_W10_Wo5_P4.txt</t>
  </si>
  <si>
    <t xml:space="preserve"> N20_P(10-20)_S(10-15)_A(40-60)_W10_Wo5_P5.txt</t>
  </si>
  <si>
    <t xml:space="preserve"> N20_P(10-20)_S(10-15)_A(40-60)_W10_Wo5_P6.txt</t>
  </si>
  <si>
    <t xml:space="preserve"> N20_P(10-20)_S(10-15)_A(40-60)_W10_Wo5_P7.txt</t>
  </si>
  <si>
    <t xml:space="preserve"> N20_P(10-20)_S(10-15)_A(40-60)_W10_Wo5_P8.txt</t>
  </si>
  <si>
    <t xml:space="preserve"> N20_P(10-20)_S(10-15)_A(40-60)_W10_Wo5_P9.txt</t>
  </si>
  <si>
    <t xml:space="preserve"> N20_P(10-20)_S(10-15)_A(40-60)_W10_Wo5_P10.txt</t>
  </si>
  <si>
    <t xml:space="preserve"> N20_P(20-30)_S(5-10)_A(20-40)_W10_Wo5_P1.txt</t>
  </si>
  <si>
    <t xml:space="preserve"> N20_P(20-30)_S(5-10)_A(20-40)_W10_Wo5_P3.txt</t>
  </si>
  <si>
    <t xml:space="preserve"> N20_P(20-30)_S(5-10)_A(20-40)_W10_Wo5_P4.txt</t>
  </si>
  <si>
    <t xml:space="preserve"> N20_P(20-30)_S(5-10)_A(20-40)_W10_Wo5_P5.txt</t>
  </si>
  <si>
    <t xml:space="preserve"> N20_P(20-30)_S(5-10)_A(20-40)_W10_Wo5_P6.txt</t>
  </si>
  <si>
    <t xml:space="preserve"> N20_P(20-30)_S(5-10)_A(20-40)_W10_Wo5_P7.txt</t>
  </si>
  <si>
    <t xml:space="preserve"> N20_P(20-30)_S(5-10)_A(20-40)_W10_Wo5_P8.txt</t>
  </si>
  <si>
    <t xml:space="preserve"> N20_P(20-30)_S(5-10)_A(20-40)_W10_Wo5_P9.txt</t>
  </si>
  <si>
    <t xml:space="preserve"> N20_P(20-30)_S(5-10)_A(20-40)_W10_Wo5_P10.txt</t>
  </si>
  <si>
    <t xml:space="preserve"> N20_P(20-30)_S(5-10)_A(40-60)_W10_Wo5_P1.txt</t>
  </si>
  <si>
    <t xml:space="preserve"> N20_P(20-30)_S(5-10)_A(40-60)_W10_Wo5_P2.txt</t>
  </si>
  <si>
    <t xml:space="preserve"> N20_P(20-30)_S(5-10)_A(40-60)_W10_Wo5_P3.txt</t>
  </si>
  <si>
    <t xml:space="preserve"> N20_P(20-30)_S(5-10)_A(40-60)_W10_Wo5_P4.txt</t>
  </si>
  <si>
    <t xml:space="preserve"> N20_P(20-30)_S(5-10)_A(40-60)_W10_Wo5_P5.txt</t>
  </si>
  <si>
    <t xml:space="preserve"> N20_P(20-30)_S(5-10)_A(40-60)_W10_Wo5_P6.txt</t>
  </si>
  <si>
    <t xml:space="preserve"> N20_P(20-30)_S(5-10)_A(40-60)_W10_Wo5_P7.txt</t>
  </si>
  <si>
    <t xml:space="preserve"> N20_P(20-30)_S(5-10)_A(40-60)_W10_Wo5_P8.txt</t>
  </si>
  <si>
    <t xml:space="preserve"> N20_P(20-30)_S(5-10)_A(40-60)_W10_Wo5_P9.txt</t>
  </si>
  <si>
    <t xml:space="preserve"> N20_P(20-30)_S(5-10)_A(40-60)_W10_Wo5_P10.txt</t>
  </si>
  <si>
    <t xml:space="preserve"> N20_P(20-30)_S(10-15)_A(20-40)_W10_Wo5_P1.txt</t>
  </si>
  <si>
    <t xml:space="preserve"> N20_P(20-30)_S(10-15)_A(20-40)_W10_Wo5_P2.txt</t>
  </si>
  <si>
    <t xml:space="preserve"> N20_P(20-30)_S(10-15)_A(20-40)_W10_Wo5_P3.txt</t>
  </si>
  <si>
    <t xml:space="preserve"> N20_P(20-30)_S(10-15)_A(20-40)_W10_Wo5_P4.txt</t>
  </si>
  <si>
    <t xml:space="preserve"> N20_P(20-30)_S(10-15)_A(20-40)_W10_Wo5_P5.txt</t>
  </si>
  <si>
    <t xml:space="preserve"> N20_P(20-30)_S(10-15)_A(20-40)_W10_Wo5_P6.txt</t>
  </si>
  <si>
    <t xml:space="preserve"> N20_P(20-30)_S(10-15)_A(20-40)_W10_Wo5_P7.txt</t>
  </si>
  <si>
    <t xml:space="preserve"> N20_P(20-30)_S(10-15)_A(20-40)_W10_Wo5_P8.txt</t>
  </si>
  <si>
    <t xml:space="preserve"> N20_P(20-30)_S(10-15)_A(20-40)_W10_Wo5_P9.txt</t>
  </si>
  <si>
    <t xml:space="preserve"> N20_P(20-30)_S(10-15)_A(20-40)_W10_Wo5_P10.txt</t>
  </si>
  <si>
    <t xml:space="preserve"> N20_P(20-30)_S(10-15)_A(40-60)_W10_Wo5_P1.txt</t>
  </si>
  <si>
    <t xml:space="preserve"> N20_P(20-30)_S(10-15)_A(40-60)_W10_Wo5_P2.txt</t>
  </si>
  <si>
    <t xml:space="preserve"> N20_P(20-30)_S(10-15)_A(40-60)_W10_Wo5_P3.txt</t>
  </si>
  <si>
    <t xml:space="preserve"> N20_P(20-30)_S(10-15)_A(40-60)_W10_Wo5_P4.txt</t>
  </si>
  <si>
    <t xml:space="preserve"> N20_P(20-30)_S(10-15)_A(40-60)_W10_Wo5_P5.txt</t>
  </si>
  <si>
    <t xml:space="preserve"> N20_P(20-30)_S(10-15)_A(40-60)_W10_Wo5_P6.txt</t>
  </si>
  <si>
    <t xml:space="preserve"> N20_P(20-30)_S(10-15)_A(40-60)_W10_Wo5_P7.txt</t>
  </si>
  <si>
    <t xml:space="preserve"> N20_P(20-30)_S(10-15)_A(40-60)_W10_Wo5_P8.txt</t>
  </si>
  <si>
    <t xml:space="preserve"> N20_P(20-30)_S(10-15)_A(40-60)_W10_Wo5_P9.txt</t>
  </si>
  <si>
    <t xml:space="preserve"> N20_P(20-30)_S(10-15)_A(40-60)_W10_Wo5_P10.txt</t>
  </si>
  <si>
    <t xml:space="preserve"> N25_P(10-20)_S(5-10)_A(20-40)_W12_Wo6_P1.txt</t>
  </si>
  <si>
    <t xml:space="preserve"> N25_P(10-20)_S(5-10)_A(20-40)_W12_Wo6_P2.txt</t>
  </si>
  <si>
    <t xml:space="preserve"> N25_P(10-20)_S(5-10)_A(20-40)_W12_Wo6_P3.txt</t>
  </si>
  <si>
    <t xml:space="preserve"> N25_P(10-20)_S(5-10)_A(20-40)_W12_Wo6_P4.txt</t>
  </si>
  <si>
    <t xml:space="preserve"> N25_P(10-20)_S(5-10)_A(20-40)_W12_Wo6_P5.txt</t>
  </si>
  <si>
    <t xml:space="preserve"> N25_P(10-20)_S(5-10)_A(20-40)_W12_Wo6_P6.txt</t>
  </si>
  <si>
    <t xml:space="preserve"> N25_P(10-20)_S(5-10)_A(20-40)_W12_Wo6_P7.txt</t>
  </si>
  <si>
    <t xml:space="preserve"> N25_P(10-20)_S(5-10)_A(20-40)_W12_Wo6_P8.txt</t>
  </si>
  <si>
    <t xml:space="preserve"> N25_P(10-20)_S(5-10)_A(20-40)_W12_Wo6_P9.txt</t>
  </si>
  <si>
    <t xml:space="preserve"> N25_P(10-20)_S(5-10)_A(20-40)_W12_Wo6_P10.txt</t>
  </si>
  <si>
    <t xml:space="preserve"> N25_P(10-20)_S(5-10)_A(40-60)_W12_Wo6_P1.txt</t>
  </si>
  <si>
    <t xml:space="preserve"> N25_P(10-20)_S(5-10)_A(40-60)_W12_Wo6_P2.txt</t>
  </si>
  <si>
    <t xml:space="preserve"> N25_P(10-20)_S(5-10)_A(40-60)_W12_Wo6_P3.txt</t>
  </si>
  <si>
    <t xml:space="preserve"> N25_P(10-20)_S(5-10)_A(40-60)_W12_Wo6_P4.txt</t>
  </si>
  <si>
    <t xml:space="preserve"> N25_P(10-20)_S(5-10)_A(40-60)_W12_Wo6_P6.txt</t>
  </si>
  <si>
    <t xml:space="preserve"> N25_P(10-20)_S(5-10)_A(40-60)_W12_Wo6_P7.txt</t>
  </si>
  <si>
    <t xml:space="preserve"> N25_P(10-20)_S(5-10)_A(40-60)_W12_Wo6_P8.txt</t>
  </si>
  <si>
    <t xml:space="preserve"> N25_P(10-20)_S(5-10)_A(40-60)_W12_Wo6_P9.txt</t>
  </si>
  <si>
    <t xml:space="preserve"> N25_P(10-20)_S(5-10)_A(40-60)_W12_Wo6_P10.txt</t>
  </si>
  <si>
    <t xml:space="preserve"> N25_P(10-20)_S(10-15)_A(20-40)_W12_Wo6_P1.txt</t>
  </si>
  <si>
    <t xml:space="preserve"> N25_P(10-20)_S(10-15)_A(20-40)_W12_Wo6_P2.txt</t>
  </si>
  <si>
    <t xml:space="preserve"> N25_P(10-20)_S(10-15)_A(20-40)_W12_Wo6_P3.txt</t>
  </si>
  <si>
    <t xml:space="preserve"> N25_P(10-20)_S(10-15)_A(20-40)_W12_Wo6_P4.txt</t>
  </si>
  <si>
    <t xml:space="preserve"> N25_P(10-20)_S(10-15)_A(20-40)_W12_Wo6_P5.txt</t>
  </si>
  <si>
    <t xml:space="preserve"> N25_P(10-20)_S(10-15)_A(20-40)_W12_Wo6_P6.txt</t>
  </si>
  <si>
    <t xml:space="preserve"> N25_P(10-20)_S(10-15)_A(20-40)_W12_Wo6_P7.txt</t>
  </si>
  <si>
    <t xml:space="preserve"> N25_P(10-20)_S(10-15)_A(20-40)_W12_Wo6_P8.txt</t>
  </si>
  <si>
    <t xml:space="preserve"> N25_P(10-20)_S(10-15)_A(20-40)_W12_Wo6_P9.txt</t>
  </si>
  <si>
    <t xml:space="preserve"> N25_P(10-20)_S(10-15)_A(20-40)_W12_Wo6_P10.txt</t>
  </si>
  <si>
    <t xml:space="preserve"> N25_P(10-20)_S(10-15)_A(40-60)_W12_Wo6_P1.txt</t>
  </si>
  <si>
    <t xml:space="preserve"> N25_P(10-20)_S(10-15)_A(40-60)_W12_Wo6_P2.txt</t>
  </si>
  <si>
    <t xml:space="preserve"> N25_P(10-20)_S(10-15)_A(40-60)_W12_Wo6_P3.txt</t>
  </si>
  <si>
    <t xml:space="preserve"> N25_P(10-20)_S(10-15)_A(40-60)_W12_Wo6_P4.txt</t>
  </si>
  <si>
    <t xml:space="preserve"> N25_P(10-20)_S(10-15)_A(40-60)_W12_Wo6_P5.txt</t>
  </si>
  <si>
    <t xml:space="preserve"> N25_P(10-20)_S(10-15)_A(40-60)_W12_Wo6_P6.txt</t>
  </si>
  <si>
    <t xml:space="preserve"> N25_P(10-20)_S(10-15)_A(40-60)_W12_Wo6_P7.txt</t>
  </si>
  <si>
    <t xml:space="preserve"> N25_P(10-20)_S(10-15)_A(40-60)_W12_Wo6_P8.txt</t>
  </si>
  <si>
    <t xml:space="preserve"> N25_P(10-20)_S(10-15)_A(40-60)_W12_Wo6_P9.txt</t>
  </si>
  <si>
    <t xml:space="preserve"> N25_P(10-20)_S(10-15)_A(40-60)_W12_Wo6_P10.txt</t>
  </si>
  <si>
    <t xml:space="preserve"> N25_P(20-30)_S(5-10)_A(20-40)_W12_Wo6_P1.txt</t>
  </si>
  <si>
    <t xml:space="preserve"> N25_P(20-30)_S(5-10)_A(20-40)_W12_Wo6_P2.txt</t>
  </si>
  <si>
    <t xml:space="preserve"> N25_P(20-30)_S(5-10)_A(20-40)_W12_Wo6_P3.txt</t>
  </si>
  <si>
    <t xml:space="preserve"> N25_P(20-30)_S(5-10)_A(20-40)_W12_Wo6_P4.txt</t>
  </si>
  <si>
    <t xml:space="preserve"> N25_P(20-30)_S(5-10)_A(20-40)_W12_Wo6_P6.txt</t>
  </si>
  <si>
    <t xml:space="preserve"> N25_P(20-30)_S(5-10)_A(20-40)_W12_Wo6_P7.txt</t>
  </si>
  <si>
    <t xml:space="preserve"> N25_P(20-30)_S(5-10)_A(20-40)_W12_Wo6_P8.txt</t>
  </si>
  <si>
    <t xml:space="preserve"> N25_P(20-30)_S(5-10)_A(20-40)_W12_Wo6_P9.txt</t>
  </si>
  <si>
    <t xml:space="preserve"> N25_P(20-30)_S(5-10)_A(20-40)_W12_Wo6_P10.txt</t>
  </si>
  <si>
    <t xml:space="preserve"> N25_P(20-30)_S(5-10)_A(40-60)_W12_Wo6_P1.txt</t>
  </si>
  <si>
    <t xml:space="preserve"> N25_P(20-30)_S(5-10)_A(40-60)_W12_Wo6_P2.txt</t>
  </si>
  <si>
    <t xml:space="preserve"> N25_P(20-30)_S(5-10)_A(40-60)_W12_Wo6_P3.txt</t>
  </si>
  <si>
    <t xml:space="preserve"> N25_P(20-30)_S(5-10)_A(40-60)_W12_Wo6_P4.txt</t>
  </si>
  <si>
    <t xml:space="preserve"> N25_P(20-30)_S(5-10)_A(40-60)_W12_Wo6_P5.txt</t>
  </si>
  <si>
    <t xml:space="preserve"> N25_P(20-30)_S(5-10)_A(40-60)_W12_Wo6_P6.txt</t>
  </si>
  <si>
    <t xml:space="preserve"> N25_P(20-30)_S(5-10)_A(40-60)_W12_Wo6_P7.txt</t>
  </si>
  <si>
    <t xml:space="preserve"> N25_P(20-30)_S(5-10)_A(40-60)_W12_Wo6_P8.txt</t>
  </si>
  <si>
    <t xml:space="preserve"> N25_P(20-30)_S(5-10)_A(40-60)_W12_Wo6_P9.txt</t>
  </si>
  <si>
    <t xml:space="preserve"> N25_P(20-30)_S(5-10)_A(40-60)_W12_Wo6_P10.txt</t>
  </si>
  <si>
    <t xml:space="preserve"> N25_P(20-30)_S(10-15)_A(20-40)_W12_Wo6_P1.txt</t>
  </si>
  <si>
    <t xml:space="preserve"> N25_P(20-30)_S(10-15)_A(20-40)_W12_Wo6_P2.txt</t>
  </si>
  <si>
    <t xml:space="preserve"> N25_P(20-30)_S(10-15)_A(20-40)_W12_Wo6_P3.txt</t>
  </si>
  <si>
    <t xml:space="preserve"> N25_P(20-30)_S(10-15)_A(20-40)_W12_Wo6_P4.txt</t>
  </si>
  <si>
    <t xml:space="preserve"> N25_P(20-30)_S(10-15)_A(20-40)_W12_Wo6_P5.txt</t>
  </si>
  <si>
    <t xml:space="preserve"> N25_P(20-30)_S(10-15)_A(20-40)_W12_Wo6_P6.txt</t>
  </si>
  <si>
    <t xml:space="preserve"> N25_P(20-30)_S(10-15)_A(20-40)_W12_Wo6_P7.txt</t>
  </si>
  <si>
    <t xml:space="preserve"> N25_P(20-30)_S(10-15)_A(20-40)_W12_Wo6_P9.txt</t>
  </si>
  <si>
    <t xml:space="preserve"> N25_P(20-30)_S(10-15)_A(20-40)_W12_Wo6_P10.txt</t>
  </si>
  <si>
    <t xml:space="preserve"> N25_P(20-30)_S(10-15)_A(40-60)_W12_Wo6_P1.txt</t>
  </si>
  <si>
    <t xml:space="preserve"> N25_P(20-30)_S(10-15)_A(40-60)_W12_Wo6_P2.txt</t>
  </si>
  <si>
    <t xml:space="preserve"> N25_P(20-30)_S(10-15)_A(40-60)_W12_Wo6_P3.txt</t>
  </si>
  <si>
    <t xml:space="preserve"> N25_P(20-30)_S(10-15)_A(40-60)_W12_Wo6_P4.txt</t>
  </si>
  <si>
    <t xml:space="preserve"> N25_P(20-30)_S(10-15)_A(40-60)_W12_Wo6_P5.txt</t>
  </si>
  <si>
    <t xml:space="preserve"> N25_P(20-30)_S(10-15)_A(40-60)_W12_Wo6_P6.txt</t>
  </si>
  <si>
    <t xml:space="preserve"> N25_P(20-30)_S(10-15)_A(40-60)_W12_Wo6_P7.txt</t>
  </si>
  <si>
    <t xml:space="preserve"> N25_P(20-30)_S(10-15)_A(40-60)_W12_Wo6_P8.txt</t>
  </si>
  <si>
    <t xml:space="preserve"> N25_P(20-30)_S(10-15)_A(40-60)_W12_Wo6_P9.txt</t>
  </si>
  <si>
    <t xml:space="preserve"> N25_P(20-30)_S(10-15)_A(40-60)_W12_Wo6_P10.txt</t>
  </si>
  <si>
    <t xml:space="preserve"> N50_P(10-20)_S(5-10)_A(20-40)_W25_Wo12_P1.txt</t>
  </si>
  <si>
    <t xml:space="preserve"> N50_P(10-20)_S(5-10)_A(20-40)_W25_Wo12_P2.txt</t>
  </si>
  <si>
    <t xml:space="preserve"> N50_P(10-20)_S(5-10)_A(20-40)_W25_Wo12_P3.txt</t>
  </si>
  <si>
    <t xml:space="preserve"> N50_P(10-20)_S(5-10)_A(20-40)_W25_Wo12_P4.txt</t>
  </si>
  <si>
    <t xml:space="preserve"> N50_P(10-20)_S(5-10)_A(20-40)_W25_Wo12_P5.txt</t>
  </si>
  <si>
    <t xml:space="preserve"> N50_P(10-20)_S(5-10)_A(20-40)_W25_Wo12_P6.txt</t>
  </si>
  <si>
    <t xml:space="preserve"> N50_P(10-20)_S(5-10)_A(20-40)_W25_Wo12_P7.txt</t>
  </si>
  <si>
    <t xml:space="preserve"> N50_P(10-20)_S(5-10)_A(20-40)_W25_Wo12_P8.txt</t>
  </si>
  <si>
    <t xml:space="preserve"> N50_P(10-20)_S(5-10)_A(20-40)_W25_Wo12_P9.txt</t>
  </si>
  <si>
    <t xml:space="preserve"> N50_P(10-20)_S(5-10)_A(20-40)_W25_Wo12_P10.txt</t>
  </si>
  <si>
    <t xml:space="preserve"> N50_P(10-20)_S(5-10)_A(40-60)_W25_Wo12_P1.txt</t>
  </si>
  <si>
    <t xml:space="preserve"> N50_P(10-20)_S(5-10)_A(40-60)_W25_Wo12_P2.txt</t>
  </si>
  <si>
    <t xml:space="preserve"> N50_P(10-20)_S(5-10)_A(40-60)_W25_Wo12_P3.txt</t>
  </si>
  <si>
    <t xml:space="preserve"> N50_P(10-20)_S(5-10)_A(40-60)_W25_Wo12_P4.txt</t>
  </si>
  <si>
    <t xml:space="preserve"> N50_P(10-20)_S(5-10)_A(40-60)_W25_Wo12_P5.txt</t>
  </si>
  <si>
    <t xml:space="preserve"> N50_P(10-20)_S(5-10)_A(40-60)_W25_Wo12_P6.txt</t>
  </si>
  <si>
    <t xml:space="preserve"> N50_P(10-20)_S(5-10)_A(40-60)_W25_Wo12_P7.txt</t>
  </si>
  <si>
    <t xml:space="preserve"> N50_P(10-20)_S(5-10)_A(40-60)_W25_Wo12_P8.txt</t>
  </si>
  <si>
    <t xml:space="preserve"> N50_P(10-20)_S(5-10)_A(40-60)_W25_Wo12_P9.txt</t>
  </si>
  <si>
    <t xml:space="preserve"> N50_P(10-20)_S(5-10)_A(40-60)_W25_Wo12_P10.txt</t>
  </si>
  <si>
    <t xml:space="preserve"> N50_P(10-20)_S(10-15)_A(20-40)_W25_Wo12_P1.txt</t>
  </si>
  <si>
    <t xml:space="preserve"> N50_P(10-20)_S(10-15)_A(20-40)_W25_Wo12_P2.txt</t>
  </si>
  <si>
    <t xml:space="preserve"> N50_P(10-20)_S(10-15)_A(20-40)_W25_Wo12_P3.txt</t>
  </si>
  <si>
    <t xml:space="preserve"> N50_P(10-20)_S(10-15)_A(20-40)_W25_Wo12_P4.txt</t>
  </si>
  <si>
    <t xml:space="preserve"> N50_P(10-20)_S(10-15)_A(20-40)_W25_Wo12_P5.txt</t>
  </si>
  <si>
    <t xml:space="preserve"> N50_P(10-20)_S(10-15)_A(20-40)_W25_Wo12_P6.txt</t>
  </si>
  <si>
    <t xml:space="preserve"> N50_P(10-20)_S(10-15)_A(20-40)_W25_Wo12_P7.txt</t>
  </si>
  <si>
    <t xml:space="preserve"> N50_P(10-20)_S(10-15)_A(20-40)_W25_Wo12_P8.txt</t>
  </si>
  <si>
    <t xml:space="preserve"> N50_P(10-20)_S(10-15)_A(20-40)_W25_Wo12_P9.txt</t>
  </si>
  <si>
    <t xml:space="preserve"> N50_P(10-20)_S(10-15)_A(20-40)_W25_Wo12_P10.txt</t>
  </si>
  <si>
    <t xml:space="preserve"> N50_P(10-20)_S(10-15)_A(40-60)_W25_Wo12_P1.txt</t>
  </si>
  <si>
    <t xml:space="preserve"> N50_P(10-20)_S(10-15)_A(40-60)_W25_Wo12_P2.txt</t>
  </si>
  <si>
    <t xml:space="preserve"> N50_P(10-20)_S(10-15)_A(40-60)_W25_Wo12_P3.txt</t>
  </si>
  <si>
    <t xml:space="preserve"> N50_P(10-20)_S(10-15)_A(40-60)_W25_Wo12_P4.txt</t>
  </si>
  <si>
    <t xml:space="preserve"> N50_P(10-20)_S(10-15)_A(40-60)_W25_Wo12_P5.txt</t>
  </si>
  <si>
    <t xml:space="preserve"> N50_P(10-20)_S(10-15)_A(40-60)_W25_Wo12_P6.txt</t>
  </si>
  <si>
    <t xml:space="preserve"> N50_P(10-20)_S(10-15)_A(40-60)_W25_Wo12_P7.txt</t>
  </si>
  <si>
    <t xml:space="preserve"> N50_P(10-20)_S(10-15)_A(40-60)_W25_Wo12_P8.txt</t>
  </si>
  <si>
    <t xml:space="preserve"> N50_P(10-20)_S(10-15)_A(40-60)_W25_Wo12_P9.txt</t>
  </si>
  <si>
    <t xml:space="preserve"> N50_P(10-20)_S(10-15)_A(40-60)_W25_Wo12_P10.txt</t>
  </si>
  <si>
    <t xml:space="preserve"> N50_P(20-30)_S(5-10)_A(20-40)_W25_Wo12_P1.txt</t>
  </si>
  <si>
    <t xml:space="preserve"> N50_P(20-30)_S(5-10)_A(20-40)_W25_Wo12_P2.txt</t>
  </si>
  <si>
    <t xml:space="preserve"> N50_P(20-30)_S(5-10)_A(20-40)_W25_Wo12_P3.txt</t>
  </si>
  <si>
    <t xml:space="preserve"> N50_P(20-30)_S(5-10)_A(20-40)_W25_Wo12_P4.txt</t>
  </si>
  <si>
    <t xml:space="preserve"> N50_P(20-30)_S(5-10)_A(20-40)_W25_Wo12_P5.txt</t>
  </si>
  <si>
    <t xml:space="preserve"> N50_P(20-30)_S(5-10)_A(20-40)_W25_Wo12_P6.txt</t>
  </si>
  <si>
    <t xml:space="preserve"> N50_P(20-30)_S(5-10)_A(20-40)_W25_Wo12_P7.txt</t>
  </si>
  <si>
    <t xml:space="preserve"> N50_P(20-30)_S(5-10)_A(20-40)_W25_Wo12_P8.txt</t>
  </si>
  <si>
    <t xml:space="preserve"> N50_P(20-30)_S(5-10)_A(20-40)_W25_Wo12_P9.txt</t>
  </si>
  <si>
    <t xml:space="preserve"> N50_P(20-30)_S(5-10)_A(20-40)_W25_Wo12_P10.txt</t>
  </si>
  <si>
    <t xml:space="preserve"> N50_P(20-30)_S(5-10)_A(40-60)_W25_Wo12_P1.txt</t>
  </si>
  <si>
    <t xml:space="preserve"> N50_P(20-30)_S(5-10)_A(40-60)_W25_Wo12_P2.txt</t>
  </si>
  <si>
    <t xml:space="preserve"> N50_P(20-30)_S(5-10)_A(40-60)_W25_Wo12_P3.txt</t>
  </si>
  <si>
    <t xml:space="preserve"> N50_P(20-30)_S(5-10)_A(40-60)_W25_Wo12_P4.txt</t>
  </si>
  <si>
    <t xml:space="preserve"> N50_P(20-30)_S(5-10)_A(40-60)_W25_Wo12_P5.txt</t>
  </si>
  <si>
    <t xml:space="preserve"> N50_P(20-30)_S(5-10)_A(40-60)_W25_Wo12_P6.txt</t>
  </si>
  <si>
    <t xml:space="preserve"> N50_P(20-30)_S(5-10)_A(40-60)_W25_Wo12_P7.txt</t>
  </si>
  <si>
    <t xml:space="preserve"> N50_P(20-30)_S(5-10)_A(40-60)_W25_Wo12_P8.txt</t>
  </si>
  <si>
    <t xml:space="preserve"> N50_P(20-30)_S(5-10)_A(40-60)_W25_Wo12_P9.txt</t>
  </si>
  <si>
    <t xml:space="preserve"> N50_P(20-30)_S(5-10)_A(40-60)_W25_Wo12_P10.txt</t>
  </si>
  <si>
    <t xml:space="preserve"> N50_P(20-30)_S(10-15)_A(20-40)_W25_Wo12_P1.txt</t>
  </si>
  <si>
    <t xml:space="preserve"> N50_P(20-30)_S(10-15)_A(20-40)_W25_Wo12_P2.txt</t>
  </si>
  <si>
    <t xml:space="preserve"> N50_P(20-30)_S(10-15)_A(20-40)_W25_Wo12_P3.txt</t>
  </si>
  <si>
    <t xml:space="preserve"> N50_P(20-30)_S(10-15)_A(20-40)_W25_Wo12_P4.txt</t>
  </si>
  <si>
    <t xml:space="preserve"> N50_P(20-30)_S(10-15)_A(20-40)_W25_Wo12_P5.txt</t>
  </si>
  <si>
    <t xml:space="preserve"> N50_P(20-30)_S(10-15)_A(20-40)_W25_Wo12_P6.txt</t>
  </si>
  <si>
    <t xml:space="preserve"> N50_P(20-30)_S(10-15)_A(20-40)_W25_Wo12_P7.txt</t>
  </si>
  <si>
    <t xml:space="preserve"> N50_P(20-30)_S(10-15)_A(20-40)_W25_Wo12_P8.txt</t>
  </si>
  <si>
    <t xml:space="preserve"> N50_P(20-30)_S(10-15)_A(20-40)_W25_Wo12_P9.txt</t>
  </si>
  <si>
    <t xml:space="preserve"> N50_P(20-30)_S(10-15)_A(20-40)_W25_Wo12_P10.txt</t>
  </si>
  <si>
    <t xml:space="preserve"> N50_P(20-30)_S(10-15)_A(40-60)_W25_Wo12_P1.txt</t>
  </si>
  <si>
    <t xml:space="preserve"> N50_P(20-30)_S(10-15)_A(40-60)_W25_Wo12_P2.txt</t>
  </si>
  <si>
    <t xml:space="preserve"> N50_P(20-30)_S(10-15)_A(40-60)_W25_Wo12_P3.txt</t>
  </si>
  <si>
    <t xml:space="preserve"> N50_P(20-30)_S(10-15)_A(40-60)_W25_Wo12_P4.txt</t>
  </si>
  <si>
    <t xml:space="preserve"> N50_P(20-30)_S(10-15)_A(40-60)_W25_Wo12_P5.txt</t>
  </si>
  <si>
    <t xml:space="preserve"> N50_P(20-30)_S(10-15)_A(40-60)_W25_Wo12_P6.txt</t>
  </si>
  <si>
    <t xml:space="preserve"> N50_P(20-30)_S(10-15)_A(40-60)_W25_Wo12_P7.txt</t>
  </si>
  <si>
    <t xml:space="preserve"> N50_P(20-30)_S(10-15)_A(40-60)_W25_Wo12_P8.txt</t>
  </si>
  <si>
    <t xml:space="preserve"> N50_P(20-30)_S(10-15)_A(40-60)_W25_Wo12_P9.txt</t>
  </si>
  <si>
    <t xml:space="preserve"> N50_P(20-30)_S(10-15)_A(40-60)_W25_Wo12_P10.txt</t>
  </si>
  <si>
    <t xml:space="preserve"> N75_P(10-20)_S(5-10)_A(20-40)_W37_Wo18_P1.txt</t>
  </si>
  <si>
    <t xml:space="preserve"> N75_P(10-20)_S(5-10)_A(20-40)_W37_Wo18_P2.txt</t>
  </si>
  <si>
    <t xml:space="preserve"> N75_P(10-20)_S(5-10)_A(20-40)_W37_Wo18_P3.txt</t>
  </si>
  <si>
    <t xml:space="preserve"> N75_P(10-20)_S(5-10)_A(20-40)_W37_Wo18_P4.txt</t>
  </si>
  <si>
    <t xml:space="preserve"> N75_P(10-20)_S(5-10)_A(20-40)_W37_Wo18_P5.txt</t>
  </si>
  <si>
    <t xml:space="preserve"> N75_P(10-20)_S(5-10)_A(20-40)_W37_Wo18_P6.txt</t>
  </si>
  <si>
    <t xml:space="preserve"> N75_P(10-20)_S(5-10)_A(20-40)_W37_Wo18_P7.txt</t>
  </si>
  <si>
    <t xml:space="preserve"> N75_P(10-20)_S(5-10)_A(20-40)_W37_Wo18_P8.txt</t>
  </si>
  <si>
    <t xml:space="preserve"> N75_P(10-20)_S(5-10)_A(20-40)_W37_Wo18_P9.txt</t>
  </si>
  <si>
    <t xml:space="preserve"> N75_P(10-20)_S(5-10)_A(20-40)_W37_Wo18_P10.txt</t>
  </si>
  <si>
    <t xml:space="preserve"> N75_P(10-20)_S(5-10)_A(40-60)_W37_Wo18_P1.txt</t>
  </si>
  <si>
    <t xml:space="preserve"> N75_P(10-20)_S(5-10)_A(40-60)_W37_Wo18_P2.txt</t>
  </si>
  <si>
    <t xml:space="preserve"> N75_P(10-20)_S(5-10)_A(40-60)_W37_Wo18_P3.txt</t>
  </si>
  <si>
    <t xml:space="preserve"> N75_P(10-20)_S(5-10)_A(40-60)_W37_Wo18_P4.txt</t>
  </si>
  <si>
    <t xml:space="preserve"> N75_P(10-20)_S(5-10)_A(40-60)_W37_Wo18_P5.txt</t>
  </si>
  <si>
    <t xml:space="preserve"> N75_P(10-20)_S(5-10)_A(40-60)_W37_Wo18_P6.txt</t>
  </si>
  <si>
    <t xml:space="preserve"> N75_P(10-20)_S(5-10)_A(40-60)_W37_Wo18_P7.txt</t>
  </si>
  <si>
    <t xml:space="preserve"> N75_P(10-20)_S(5-10)_A(40-60)_W37_Wo18_P8.txt</t>
  </si>
  <si>
    <t xml:space="preserve"> N75_P(10-20)_S(5-10)_A(40-60)_W37_Wo18_P9.txt</t>
  </si>
  <si>
    <t xml:space="preserve"> N75_P(10-20)_S(5-10)_A(40-60)_W37_Wo18_P10.txt</t>
  </si>
  <si>
    <t xml:space="preserve"> N75_P(10-20)_S(10-15)_A(20-40)_W37_Wo18_P1.txt</t>
  </si>
  <si>
    <t xml:space="preserve"> N75_P(10-20)_S(10-15)_A(20-40)_W37_Wo18_P2.txt</t>
  </si>
  <si>
    <t xml:space="preserve"> N75_P(10-20)_S(10-15)_A(20-40)_W37_Wo18_P3.txt</t>
  </si>
  <si>
    <t xml:space="preserve"> N75_P(10-20)_S(10-15)_A(20-40)_W37_Wo18_P4.txt</t>
  </si>
  <si>
    <t xml:space="preserve"> N75_P(10-20)_S(10-15)_A(20-40)_W37_Wo18_P5.txt</t>
  </si>
  <si>
    <t xml:space="preserve"> N75_P(10-20)_S(10-15)_A(20-40)_W37_Wo18_P6.txt</t>
  </si>
  <si>
    <t xml:space="preserve"> N75_P(10-20)_S(10-15)_A(20-40)_W37_Wo18_P7.txt</t>
  </si>
  <si>
    <t xml:space="preserve"> N75_P(10-20)_S(10-15)_A(20-40)_W37_Wo18_P8.txt</t>
  </si>
  <si>
    <t xml:space="preserve"> N75_P(10-20)_S(10-15)_A(20-40)_W37_Wo18_P9.txt</t>
  </si>
  <si>
    <t xml:space="preserve"> N75_P(10-20)_S(10-15)_A(20-40)_W37_Wo18_P10.txt</t>
  </si>
  <si>
    <t xml:space="preserve"> N75_P(10-20)_S(10-15)_A(40-60)_W37_Wo18_P1.txt</t>
  </si>
  <si>
    <t xml:space="preserve"> N75_P(10-20)_S(10-15)_A(40-60)_W37_Wo18_P2.txt</t>
  </si>
  <si>
    <t xml:space="preserve"> N75_P(10-20)_S(10-15)_A(40-60)_W37_Wo18_P3.txt</t>
  </si>
  <si>
    <t xml:space="preserve"> N75_P(10-20)_S(10-15)_A(40-60)_W37_Wo18_P4.txt</t>
  </si>
  <si>
    <t xml:space="preserve"> N75_P(10-20)_S(10-15)_A(40-60)_W37_Wo18_P5.txt</t>
  </si>
  <si>
    <t xml:space="preserve"> N75_P(10-20)_S(10-15)_A(40-60)_W37_Wo18_P6.txt</t>
  </si>
  <si>
    <t xml:space="preserve"> N75_P(10-20)_S(10-15)_A(40-60)_W37_Wo18_P7.txt</t>
  </si>
  <si>
    <t xml:space="preserve"> N75_P(10-20)_S(10-15)_A(40-60)_W37_Wo18_P8.txt</t>
  </si>
  <si>
    <t xml:space="preserve"> N75_P(10-20)_S(10-15)_A(40-60)_W37_Wo18_P9.txt</t>
  </si>
  <si>
    <t xml:space="preserve"> N75_P(10-20)_S(10-15)_A(40-60)_W37_Wo18_P10.txt</t>
  </si>
  <si>
    <t xml:space="preserve"> N75_P(20-30)_S(5-10)_A(20-40)_W37_Wo18_P1.txt</t>
  </si>
  <si>
    <t xml:space="preserve"> N75_P(20-30)_S(5-10)_A(20-40)_W37_Wo18_P2.txt</t>
  </si>
  <si>
    <t xml:space="preserve"> N75_P(20-30)_S(5-10)_A(20-40)_W37_Wo18_P3.txt</t>
  </si>
  <si>
    <t xml:space="preserve"> N75_P(20-30)_S(5-10)_A(20-40)_W37_Wo18_P4.txt</t>
  </si>
  <si>
    <t xml:space="preserve"> N75_P(20-30)_S(5-10)_A(20-40)_W37_Wo18_P5.txt</t>
  </si>
  <si>
    <t xml:space="preserve"> N75_P(20-30)_S(5-10)_A(20-40)_W37_Wo18_P6.txt</t>
  </si>
  <si>
    <t xml:space="preserve"> N75_P(20-30)_S(5-10)_A(20-40)_W37_Wo18_P7.txt</t>
  </si>
  <si>
    <t xml:space="preserve"> N75_P(20-30)_S(5-10)_A(20-40)_W37_Wo18_P8.txt</t>
  </si>
  <si>
    <t xml:space="preserve"> N75_P(20-30)_S(5-10)_A(20-40)_W37_Wo18_P9.txt</t>
  </si>
  <si>
    <t xml:space="preserve"> N75_P(20-30)_S(5-10)_A(20-40)_W37_Wo18_P10.txt</t>
  </si>
  <si>
    <t xml:space="preserve"> N75_P(20-30)_S(5-10)_A(40-60)_W37_Wo18_P1.txt</t>
  </si>
  <si>
    <t xml:space="preserve"> N75_P(20-30)_S(5-10)_A(40-60)_W37_Wo18_P2.txt</t>
  </si>
  <si>
    <t xml:space="preserve"> N75_P(20-30)_S(5-10)_A(40-60)_W37_Wo18_P3.txt</t>
  </si>
  <si>
    <t xml:space="preserve"> N75_P(20-30)_S(5-10)_A(40-60)_W37_Wo18_P4.txt</t>
  </si>
  <si>
    <t xml:space="preserve"> N75_P(20-30)_S(5-10)_A(40-60)_W37_Wo18_P5.txt</t>
  </si>
  <si>
    <t xml:space="preserve"> N75_P(20-30)_S(5-10)_A(40-60)_W37_Wo18_P6.txt</t>
  </si>
  <si>
    <t xml:space="preserve"> N75_P(20-30)_S(5-10)_A(40-60)_W37_Wo18_P7.txt</t>
  </si>
  <si>
    <t xml:space="preserve"> N75_P(20-30)_S(5-10)_A(40-60)_W37_Wo18_P8.txt</t>
  </si>
  <si>
    <t xml:space="preserve"> N75_P(20-30)_S(5-10)_A(40-60)_W37_Wo18_P9.txt</t>
  </si>
  <si>
    <t xml:space="preserve"> N75_P(20-30)_S(5-10)_A(40-60)_W37_Wo18_P10.txt</t>
  </si>
  <si>
    <t xml:space="preserve"> N75_P(20-30)_S(10-15)_A(20-40)_W37_Wo18_P1.txt</t>
  </si>
  <si>
    <t xml:space="preserve"> N75_P(20-30)_S(10-15)_A(20-40)_W37_Wo18_P2.txt</t>
  </si>
  <si>
    <t xml:space="preserve"> N75_P(20-30)_S(10-15)_A(20-40)_W37_Wo18_P3.txt</t>
  </si>
  <si>
    <t xml:space="preserve"> N75_P(20-30)_S(10-15)_A(20-40)_W37_Wo18_P4.txt</t>
  </si>
  <si>
    <t xml:space="preserve"> N75_P(20-30)_S(10-15)_A(20-40)_W37_Wo18_P5.txt</t>
  </si>
  <si>
    <t xml:space="preserve"> N75_P(20-30)_S(10-15)_A(20-40)_W37_Wo18_P6.txt</t>
  </si>
  <si>
    <t xml:space="preserve"> N75_P(20-30)_S(10-15)_A(20-40)_W37_Wo18_P7.txt</t>
  </si>
  <si>
    <t xml:space="preserve"> N75_P(20-30)_S(10-15)_A(20-40)_W37_Wo18_P8.txt</t>
  </si>
  <si>
    <t xml:space="preserve"> N75_P(20-30)_S(10-15)_A(20-40)_W37_Wo18_P9.txt</t>
  </si>
  <si>
    <t xml:space="preserve"> N75_P(20-30)_S(10-15)_A(20-40)_W37_Wo18_P10.txt</t>
  </si>
  <si>
    <t xml:space="preserve"> N75_P(20-30)_S(10-15)_A(40-60)_W37_Wo18_P1.txt</t>
  </si>
  <si>
    <t xml:space="preserve"> N75_P(20-30)_S(10-15)_A(40-60)_W37_Wo18_P2.txt</t>
  </si>
  <si>
    <t xml:space="preserve"> N75_P(20-30)_S(10-15)_A(40-60)_W37_Wo18_P3.txt</t>
  </si>
  <si>
    <t xml:space="preserve"> N75_P(20-30)_S(10-15)_A(40-60)_W37_Wo18_P4.txt</t>
  </si>
  <si>
    <t xml:space="preserve"> N75_P(20-30)_S(10-15)_A(40-60)_W37_Wo18_P5.txt</t>
  </si>
  <si>
    <t xml:space="preserve"> N75_P(20-30)_S(10-15)_A(40-60)_W37_Wo18_P6.txt</t>
  </si>
  <si>
    <t xml:space="preserve"> N75_P(20-30)_S(10-15)_A(40-60)_W37_Wo18_P7.txt</t>
  </si>
  <si>
    <t xml:space="preserve"> N75_P(20-30)_S(10-15)_A(40-60)_W37_Wo18_P8.txt</t>
  </si>
  <si>
    <t xml:space="preserve"> N75_P(20-30)_S(10-15)_A(40-60)_W37_Wo18_P9.txt</t>
  </si>
  <si>
    <t xml:space="preserve"> N75_P(20-30)_S(10-15)_A(40-60)_W37_Wo18_P10.txt</t>
  </si>
  <si>
    <t xml:space="preserve"> N100_P(10-20)_S(5-10)_A(20-40)_W50_Wo25_P1.txt</t>
  </si>
  <si>
    <t xml:space="preserve"> N100_P(10-20)_S(5-10)_A(20-40)_W50_Wo25_P2.txt</t>
  </si>
  <si>
    <t xml:space="preserve"> N100_P(10-20)_S(5-10)_A(20-40)_W50_Wo25_P3.txt</t>
  </si>
  <si>
    <t xml:space="preserve"> N100_P(10-20)_S(5-10)_A(20-40)_W50_Wo25_P4.txt</t>
  </si>
  <si>
    <t xml:space="preserve"> N100_P(10-20)_S(5-10)_A(20-40)_W50_Wo25_P5.txt</t>
  </si>
  <si>
    <t xml:space="preserve"> N100_P(10-20)_S(5-10)_A(20-40)_W50_Wo25_P6.txt</t>
  </si>
  <si>
    <t xml:space="preserve"> N100_P(10-20)_S(5-10)_A(20-40)_W50_Wo25_P7.txt</t>
  </si>
  <si>
    <t xml:space="preserve"> N100_P(10-20)_S(5-10)_A(20-40)_W50_Wo25_P8.txt</t>
  </si>
  <si>
    <t xml:space="preserve"> N100_P(10-20)_S(5-10)_A(20-40)_W50_Wo25_P9.txt</t>
  </si>
  <si>
    <t xml:space="preserve"> N100_P(10-20)_S(5-10)_A(20-40)_W50_Wo25_P10.txt</t>
  </si>
  <si>
    <t xml:space="preserve"> N100_P(10-20)_S(5-10)_A(40-60)_W50_Wo25_P1.txt</t>
  </si>
  <si>
    <t xml:space="preserve"> N100_P(10-20)_S(5-10)_A(40-60)_W50_Wo25_P2.txt</t>
  </si>
  <si>
    <t xml:space="preserve"> N100_P(10-20)_S(5-10)_A(40-60)_W50_Wo25_P3.txt</t>
  </si>
  <si>
    <t xml:space="preserve"> N100_P(10-20)_S(5-10)_A(40-60)_W50_Wo25_P4.txt</t>
  </si>
  <si>
    <t xml:space="preserve"> N100_P(10-20)_S(5-10)_A(40-60)_W50_Wo25_P5.txt</t>
  </si>
  <si>
    <t xml:space="preserve"> N100_P(10-20)_S(5-10)_A(40-60)_W50_Wo25_P6.txt</t>
  </si>
  <si>
    <t xml:space="preserve"> N100_P(10-20)_S(5-10)_A(40-60)_W50_Wo25_P7.txt</t>
  </si>
  <si>
    <t xml:space="preserve"> N100_P(10-20)_S(5-10)_A(40-60)_W50_Wo25_P8.txt</t>
  </si>
  <si>
    <t xml:space="preserve"> N100_P(10-20)_S(5-10)_A(40-60)_W50_Wo25_P9.txt</t>
  </si>
  <si>
    <t xml:space="preserve"> N100_P(10-20)_S(5-10)_A(40-60)_W50_Wo25_P10.txt</t>
  </si>
  <si>
    <t xml:space="preserve"> N100_P(10-20)_S(10-15)_A(20-40)_W50_Wo25_P1.txt</t>
  </si>
  <si>
    <t xml:space="preserve"> N100_P(10-20)_S(10-15)_A(20-40)_W50_Wo25_P2.txt</t>
  </si>
  <si>
    <t xml:space="preserve"> N100_P(10-20)_S(10-15)_A(20-40)_W50_Wo25_P3.txt</t>
  </si>
  <si>
    <t xml:space="preserve"> N100_P(10-20)_S(10-15)_A(20-40)_W50_Wo25_P4.txt</t>
  </si>
  <si>
    <t xml:space="preserve"> N100_P(10-20)_S(10-15)_A(20-40)_W50_Wo25_P5.txt</t>
  </si>
  <si>
    <t xml:space="preserve"> N100_P(10-20)_S(10-15)_A(20-40)_W50_Wo25_P6.txt</t>
  </si>
  <si>
    <t xml:space="preserve"> N100_P(10-20)_S(10-15)_A(20-40)_W50_Wo25_P7.txt</t>
  </si>
  <si>
    <t xml:space="preserve"> N100_P(10-20)_S(10-15)_A(20-40)_W50_Wo25_P8.txt</t>
  </si>
  <si>
    <t xml:space="preserve"> N100_P(10-20)_S(10-15)_A(20-40)_W50_Wo25_P9.txt</t>
  </si>
  <si>
    <t xml:space="preserve"> N100_P(10-20)_S(10-15)_A(20-40)_W50_Wo25_P10.txt</t>
  </si>
  <si>
    <t xml:space="preserve"> N100_P(10-20)_S(10-15)_A(40-60)_W50_Wo25_P1.txt</t>
  </si>
  <si>
    <t xml:space="preserve"> N100_P(10-20)_S(10-15)_A(40-60)_W50_Wo25_P2.txt</t>
  </si>
  <si>
    <t xml:space="preserve"> N100_P(10-20)_S(10-15)_A(40-60)_W50_Wo25_P3.txt</t>
  </si>
  <si>
    <t xml:space="preserve"> N100_P(10-20)_S(10-15)_A(40-60)_W50_Wo25_P4.txt</t>
  </si>
  <si>
    <t xml:space="preserve"> N100_P(10-20)_S(10-15)_A(40-60)_W50_Wo25_P5.txt</t>
  </si>
  <si>
    <t xml:space="preserve"> N100_P(10-20)_S(10-15)_A(40-60)_W50_Wo25_P6.txt</t>
  </si>
  <si>
    <t xml:space="preserve"> N100_P(10-20)_S(10-15)_A(40-60)_W50_Wo25_P7.txt</t>
  </si>
  <si>
    <t xml:space="preserve"> N100_P(10-20)_S(10-15)_A(40-60)_W50_Wo25_P8.txt</t>
  </si>
  <si>
    <t xml:space="preserve"> N100_P(10-20)_S(10-15)_A(40-60)_W50_Wo25_P9.txt</t>
  </si>
  <si>
    <t xml:space="preserve"> N100_P(10-20)_S(10-15)_A(40-60)_W50_Wo25_P10.txt</t>
  </si>
  <si>
    <t xml:space="preserve"> N100_P(20-30)_S(5-10)_A(20-40)_W50_Wo25_P1.txt</t>
  </si>
  <si>
    <t xml:space="preserve"> N100_P(20-30)_S(5-10)_A(20-40)_W50_Wo25_P2.txt</t>
  </si>
  <si>
    <t xml:space="preserve"> N100_P(20-30)_S(5-10)_A(20-40)_W50_Wo25_P3.txt</t>
  </si>
  <si>
    <t xml:space="preserve"> N100_P(20-30)_S(5-10)_A(20-40)_W50_Wo25_P4.txt</t>
  </si>
  <si>
    <t xml:space="preserve"> N100_P(20-30)_S(5-10)_A(20-40)_W50_Wo25_P5.txt</t>
  </si>
  <si>
    <t xml:space="preserve"> N100_P(20-30)_S(5-10)_A(20-40)_W50_Wo25_P6.txt</t>
  </si>
  <si>
    <t xml:space="preserve"> N100_P(20-30)_S(5-10)_A(20-40)_W50_Wo25_P7.txt</t>
  </si>
  <si>
    <t xml:space="preserve"> N100_P(20-30)_S(5-10)_A(20-40)_W50_Wo25_P8.txt</t>
  </si>
  <si>
    <t xml:space="preserve"> N100_P(20-30)_S(5-10)_A(20-40)_W50_Wo25_P9.txt</t>
  </si>
  <si>
    <t xml:space="preserve"> N100_P(20-30)_S(5-10)_A(20-40)_W50_Wo25_P10.txt</t>
  </si>
  <si>
    <t xml:space="preserve"> N100_P(20-30)_S(5-10)_A(40-60)_W50_Wo25_P1.txt</t>
  </si>
  <si>
    <t xml:space="preserve"> N100_P(20-30)_S(5-10)_A(40-60)_W50_Wo25_P2.txt</t>
  </si>
  <si>
    <t xml:space="preserve"> N100_P(20-30)_S(5-10)_A(40-60)_W50_Wo25_P3.txt</t>
  </si>
  <si>
    <t xml:space="preserve"> N100_P(20-30)_S(5-10)_A(40-60)_W50_Wo25_P4.txt</t>
  </si>
  <si>
    <t xml:space="preserve"> N100_P(20-30)_S(5-10)_A(40-60)_W50_Wo25_P5.txt</t>
  </si>
  <si>
    <t xml:space="preserve"> N100_P(20-30)_S(5-10)_A(40-60)_W50_Wo25_P6.txt</t>
  </si>
  <si>
    <t xml:space="preserve"> N100_P(20-30)_S(5-10)_A(40-60)_W50_Wo25_P7.txt</t>
  </si>
  <si>
    <t xml:space="preserve"> N100_P(20-30)_S(5-10)_A(40-60)_W50_Wo25_P8.txt</t>
  </si>
  <si>
    <t xml:space="preserve"> N100_P(20-30)_S(5-10)_A(40-60)_W50_Wo25_P9.txt</t>
  </si>
  <si>
    <t xml:space="preserve"> N100_P(20-30)_S(5-10)_A(40-60)_W50_Wo25_P10.txt</t>
  </si>
  <si>
    <t xml:space="preserve"> N100_P(20-30)_S(10-15)_A(20-40)_W50_Wo25_P1.txt</t>
  </si>
  <si>
    <t xml:space="preserve"> N100_P(20-30)_S(10-15)_A(20-40)_W50_Wo25_P2.txt</t>
  </si>
  <si>
    <t xml:space="preserve"> N100_P(20-30)_S(10-15)_A(20-40)_W50_Wo25_P3.txt</t>
  </si>
  <si>
    <t xml:space="preserve"> N100_P(20-30)_S(10-15)_A(20-40)_W50_Wo25_P4.txt</t>
  </si>
  <si>
    <t xml:space="preserve"> N100_P(20-30)_S(10-15)_A(20-40)_W50_Wo25_P5.txt</t>
  </si>
  <si>
    <t xml:space="preserve"> N100_P(20-30)_S(10-15)_A(20-40)_W50_Wo25_P6.txt</t>
  </si>
  <si>
    <t xml:space="preserve"> N100_P(20-30)_S(10-15)_A(20-40)_W50_Wo25_P7.txt</t>
  </si>
  <si>
    <t xml:space="preserve"> N100_P(20-30)_S(10-15)_A(20-40)_W50_Wo25_P8.txt</t>
  </si>
  <si>
    <t xml:space="preserve"> N100_P(20-30)_S(10-15)_A(20-40)_W50_Wo25_P9.txt</t>
  </si>
  <si>
    <t xml:space="preserve"> N100_P(20-30)_S(10-15)_A(20-40)_W50_Wo25_P10.txt</t>
  </si>
  <si>
    <t xml:space="preserve"> N100_P(20-30)_S(10-15)_A(40-60)_W50_Wo25_P1.txt</t>
  </si>
  <si>
    <t xml:space="preserve"> N100_P(20-30)_S(10-15)_A(40-60)_W50_Wo25_P2.txt</t>
  </si>
  <si>
    <t xml:space="preserve"> N100_P(20-30)_S(10-15)_A(40-60)_W50_Wo25_P3.txt</t>
  </si>
  <si>
    <t xml:space="preserve"> N100_P(20-30)_S(10-15)_A(40-60)_W50_Wo25_P4.txt</t>
  </si>
  <si>
    <t xml:space="preserve"> N100_P(20-30)_S(10-15)_A(40-60)_W50_Wo25_P5.txt</t>
  </si>
  <si>
    <t xml:space="preserve"> N100_P(20-30)_S(10-15)_A(40-60)_W50_Wo25_P6.txt</t>
  </si>
  <si>
    <t xml:space="preserve"> N100_P(20-30)_S(10-15)_A(40-60)_W50_Wo25_P7.txt</t>
  </si>
  <si>
    <t xml:space="preserve"> N100_P(20-30)_S(10-15)_A(40-60)_W50_Wo25_P8.txt</t>
  </si>
  <si>
    <t xml:space="preserve"> N100_P(20-30)_S(10-15)_A(40-60)_W50_Wo25_P9.txt</t>
  </si>
  <si>
    <t xml:space="preserve"> N100_P(20-30)_S(10-15)_A(40-60)_W50_Wo25_P10.txt</t>
  </si>
  <si>
    <t>Win</t>
    <phoneticPr fontId="18" type="noConversion"/>
  </si>
  <si>
    <t>Tie</t>
    <phoneticPr fontId="18" type="noConversion"/>
  </si>
  <si>
    <t>Lose</t>
    <phoneticPr fontId="18" type="noConversion"/>
  </si>
  <si>
    <t xml:space="preserve"> N20_P(10-20)_S(5-10)_A(40-60)_W10_Wo5_P5.txt</t>
    <phoneticPr fontId="18" type="noConversion"/>
  </si>
  <si>
    <t xml:space="preserve"> N20_P(10-20)_S(5-10)_A(20-40)_W10_Wo5_P7.txt</t>
    <phoneticPr fontId="18" type="noConversion"/>
  </si>
  <si>
    <t xml:space="preserve"> N20_P(10-20)_S(5-10)_A(40-60)_W10_Wo5_P9.txt</t>
    <phoneticPr fontId="18" type="noConversion"/>
  </si>
  <si>
    <t xml:space="preserve"> N20_P(20-30)_S(5-10)_A(20-40)_W10_Wo5_P2.txt</t>
    <phoneticPr fontId="18" type="noConversion"/>
  </si>
  <si>
    <t xml:space="preserve"> N25_P(20-30)_S(5-10)_A(20-40)_W12_Wo6_P5.txt</t>
    <phoneticPr fontId="18" type="noConversion"/>
  </si>
  <si>
    <t xml:space="preserve"> N25_P(20-30)_S(10-15)_A(20-40)_W12_Wo6_P8.txt</t>
    <phoneticPr fontId="18" type="noConversion"/>
  </si>
  <si>
    <t xml:space="preserve"> N25_P(10-20)_S(5-10)_A(40-60)_W12_Wo6_P5.txt</t>
    <phoneticPr fontId="18" type="noConversion"/>
  </si>
  <si>
    <t xml:space="preserve"> N10_P(10-20)_S(5-10)_A(20-40)_W5_Wo2_P1</t>
  </si>
  <si>
    <t xml:space="preserve"> N10_P(10-20)_S(5-10)_A(20-40)_W5_Wo2_P2</t>
  </si>
  <si>
    <t xml:space="preserve"> N10_P(10-20)_S(5-10)_A(20-40)_W5_Wo2_P3</t>
  </si>
  <si>
    <t xml:space="preserve"> N10_P(10-20)_S(5-10)_A(20-40)_W5_Wo2_P4</t>
  </si>
  <si>
    <t xml:space="preserve"> N10_P(10-20)_S(5-10)_A(20-40)_W5_Wo2_P5</t>
  </si>
  <si>
    <t xml:space="preserve"> N10_P(10-20)_S(5-10)_A(20-40)_W5_Wo2_P6</t>
  </si>
  <si>
    <t xml:space="preserve"> N10_P(10-20)_S(5-10)_A(20-40)_W5_Wo2_P7</t>
  </si>
  <si>
    <t xml:space="preserve"> N10_P(10-20)_S(5-10)_A(20-40)_W5_Wo2_P8</t>
  </si>
  <si>
    <t xml:space="preserve"> N10_P(10-20)_S(5-10)_A(20-40)_W5_Wo2_P9</t>
  </si>
  <si>
    <t xml:space="preserve"> N10_P(10-20)_S(5-10)_A(20-40)_W5_Wo2_P10</t>
  </si>
  <si>
    <t xml:space="preserve"> N10_P(10-20)_S(5-10)_A(40-60)_W5_Wo2_P1</t>
  </si>
  <si>
    <t xml:space="preserve"> N10_P(10-20)_S(5-10)_A(40-60)_W5_Wo2_P2</t>
  </si>
  <si>
    <t xml:space="preserve"> N10_P(10-20)_S(5-10)_A(40-60)_W5_Wo2_P3</t>
  </si>
  <si>
    <t xml:space="preserve"> N10_P(10-20)_S(5-10)_A(40-60)_W5_Wo2_P4</t>
  </si>
  <si>
    <t xml:space="preserve"> N10_P(10-20)_S(5-10)_A(40-60)_W5_Wo2_P5</t>
  </si>
  <si>
    <t xml:space="preserve"> N10_P(10-20)_S(5-10)_A(40-60)_W5_Wo2_P6</t>
  </si>
  <si>
    <t xml:space="preserve"> N10_P(10-20)_S(5-10)_A(40-60)_W5_Wo2_P7</t>
  </si>
  <si>
    <t xml:space="preserve"> N10_P(10-20)_S(5-10)_A(40-60)_W5_Wo2_P8</t>
  </si>
  <si>
    <t xml:space="preserve"> N10_P(10-20)_S(5-10)_A(40-60)_W5_Wo2_P9</t>
  </si>
  <si>
    <t xml:space="preserve"> N10_P(10-20)_S(5-10)_A(40-60)_W5_Wo2_P10</t>
  </si>
  <si>
    <t xml:space="preserve"> N10_P(10-20)_S(10-15)_A(20-40)_W5_Wo2_P1</t>
  </si>
  <si>
    <t xml:space="preserve"> N10_P(10-20)_S(10-15)_A(20-40)_W5_Wo2_P2</t>
  </si>
  <si>
    <t xml:space="preserve"> N10_P(10-20)_S(10-15)_A(20-40)_W5_Wo2_P3</t>
  </si>
  <si>
    <t xml:space="preserve"> N10_P(10-20)_S(10-15)_A(20-40)_W5_Wo2_P4</t>
  </si>
  <si>
    <t xml:space="preserve"> N10_P(10-20)_S(10-15)_A(20-40)_W5_Wo2_P5</t>
  </si>
  <si>
    <t xml:space="preserve"> N10_P(10-20)_S(10-15)_A(20-40)_W5_Wo2_P6</t>
  </si>
  <si>
    <t xml:space="preserve"> N10_P(10-20)_S(10-15)_A(20-40)_W5_Wo2_P7</t>
  </si>
  <si>
    <t xml:space="preserve"> N10_P(10-20)_S(10-15)_A(20-40)_W5_Wo2_P8</t>
  </si>
  <si>
    <t xml:space="preserve"> N10_P(10-20)_S(10-15)_A(20-40)_W5_Wo2_P9</t>
  </si>
  <si>
    <t xml:space="preserve"> N10_P(10-20)_S(10-15)_A(20-40)_W5_Wo2_P10</t>
  </si>
  <si>
    <t xml:space="preserve"> N10_P(10-20)_S(10-15)_A(40-60)_W5_Wo2_P1</t>
  </si>
  <si>
    <t xml:space="preserve"> N10_P(10-20)_S(10-15)_A(40-60)_W5_Wo2_P2</t>
  </si>
  <si>
    <t xml:space="preserve"> N10_P(10-20)_S(10-15)_A(40-60)_W5_Wo2_P3</t>
  </si>
  <si>
    <t xml:space="preserve"> N10_P(10-20)_S(10-15)_A(40-60)_W5_Wo2_P4</t>
  </si>
  <si>
    <t xml:space="preserve"> N10_P(10-20)_S(10-15)_A(40-60)_W5_Wo2_P5</t>
  </si>
  <si>
    <t xml:space="preserve"> N10_P(10-20)_S(10-15)_A(40-60)_W5_Wo2_P6</t>
  </si>
  <si>
    <t xml:space="preserve"> N10_P(10-20)_S(10-15)_A(40-60)_W5_Wo2_P7</t>
  </si>
  <si>
    <t xml:space="preserve"> N10_P(10-20)_S(10-15)_A(40-60)_W5_Wo2_P8</t>
  </si>
  <si>
    <t xml:space="preserve"> N10_P(10-20)_S(10-15)_A(40-60)_W5_Wo2_P9</t>
  </si>
  <si>
    <t xml:space="preserve"> N10_P(10-20)_S(10-15)_A(40-60)_W5_Wo2_P10</t>
  </si>
  <si>
    <t xml:space="preserve"> N10_P(20-30)_S(5-10)_A(20-40)_W5_Wo2_P1</t>
  </si>
  <si>
    <t xml:space="preserve"> N10_P(20-30)_S(5-10)_A(20-40)_W5_Wo2_P2</t>
  </si>
  <si>
    <t xml:space="preserve"> N10_P(20-30)_S(5-10)_A(20-40)_W5_Wo2_P3</t>
  </si>
  <si>
    <t xml:space="preserve"> N10_P(20-30)_S(5-10)_A(20-40)_W5_Wo2_P4</t>
  </si>
  <si>
    <t xml:space="preserve"> N10_P(20-30)_S(5-10)_A(20-40)_W5_Wo2_P5</t>
  </si>
  <si>
    <t xml:space="preserve"> N10_P(20-30)_S(5-10)_A(20-40)_W5_Wo2_P6</t>
  </si>
  <si>
    <t xml:space="preserve"> N10_P(20-30)_S(5-10)_A(20-40)_W5_Wo2_P7</t>
  </si>
  <si>
    <t xml:space="preserve"> N10_P(20-30)_S(5-10)_A(20-40)_W5_Wo2_P8</t>
  </si>
  <si>
    <t xml:space="preserve"> N10_P(20-30)_S(5-10)_A(20-40)_W5_Wo2_P9</t>
  </si>
  <si>
    <t xml:space="preserve"> N10_P(20-30)_S(5-10)_A(20-40)_W5_Wo2_P10</t>
  </si>
  <si>
    <t xml:space="preserve"> N10_P(20-30)_S(5-10)_A(40-60)_W5_Wo2_P1</t>
  </si>
  <si>
    <t xml:space="preserve"> N10_P(20-30)_S(5-10)_A(40-60)_W5_Wo2_P2</t>
  </si>
  <si>
    <t xml:space="preserve"> N10_P(20-30)_S(5-10)_A(40-60)_W5_Wo2_P3</t>
  </si>
  <si>
    <t xml:space="preserve"> N10_P(20-30)_S(5-10)_A(40-60)_W5_Wo2_P4</t>
  </si>
  <si>
    <t xml:space="preserve"> N10_P(20-30)_S(5-10)_A(40-60)_W5_Wo2_P5</t>
  </si>
  <si>
    <t xml:space="preserve"> N10_P(20-30)_S(5-10)_A(40-60)_W5_Wo2_P6</t>
  </si>
  <si>
    <t xml:space="preserve"> N10_P(20-30)_S(5-10)_A(40-60)_W5_Wo2_P7</t>
  </si>
  <si>
    <t xml:space="preserve"> N10_P(20-30)_S(5-10)_A(40-60)_W5_Wo2_P8</t>
  </si>
  <si>
    <t xml:space="preserve"> N10_P(20-30)_S(5-10)_A(40-60)_W5_Wo2_P9</t>
  </si>
  <si>
    <t xml:space="preserve"> N10_P(20-30)_S(5-10)_A(40-60)_W5_Wo2_P10</t>
  </si>
  <si>
    <t xml:space="preserve"> N10_P(20-30)_S(10-15)_A(20-40)_W5_Wo2_P1</t>
  </si>
  <si>
    <t xml:space="preserve"> N10_P(20-30)_S(10-15)_A(20-40)_W5_Wo2_P2</t>
  </si>
  <si>
    <t xml:space="preserve"> N10_P(20-30)_S(10-15)_A(20-40)_W5_Wo2_P3</t>
  </si>
  <si>
    <t xml:space="preserve"> N10_P(20-30)_S(10-15)_A(20-40)_W5_Wo2_P4</t>
  </si>
  <si>
    <t xml:space="preserve"> N10_P(20-30)_S(10-15)_A(20-40)_W5_Wo2_P5</t>
  </si>
  <si>
    <t xml:space="preserve"> N10_P(20-30)_S(10-15)_A(20-40)_W5_Wo2_P6</t>
  </si>
  <si>
    <t xml:space="preserve"> N10_P(20-30)_S(10-15)_A(20-40)_W5_Wo2_P7</t>
  </si>
  <si>
    <t xml:space="preserve"> N10_P(20-30)_S(10-15)_A(20-40)_W5_Wo2_P8</t>
  </si>
  <si>
    <t xml:space="preserve"> N10_P(20-30)_S(10-15)_A(20-40)_W5_Wo2_P9</t>
  </si>
  <si>
    <t xml:space="preserve"> N10_P(20-30)_S(10-15)_A(20-40)_W5_Wo2_P10</t>
  </si>
  <si>
    <t xml:space="preserve"> N10_P(20-30)_S(10-15)_A(40-60)_W5_Wo2_P1</t>
  </si>
  <si>
    <t xml:space="preserve"> N10_P(20-30)_S(10-15)_A(40-60)_W5_Wo2_P2</t>
  </si>
  <si>
    <t xml:space="preserve"> N10_P(20-30)_S(10-15)_A(40-60)_W5_Wo2_P3</t>
  </si>
  <si>
    <t xml:space="preserve"> N10_P(20-30)_S(10-15)_A(40-60)_W5_Wo2_P4</t>
  </si>
  <si>
    <t xml:space="preserve"> N10_P(20-30)_S(10-15)_A(40-60)_W5_Wo2_P5</t>
  </si>
  <si>
    <t xml:space="preserve"> N10_P(20-30)_S(10-15)_A(40-60)_W5_Wo2_P6</t>
  </si>
  <si>
    <t xml:space="preserve"> N10_P(20-30)_S(10-15)_A(40-60)_W5_Wo2_P7</t>
  </si>
  <si>
    <t xml:space="preserve"> N10_P(20-30)_S(10-15)_A(40-60)_W5_Wo2_P8</t>
  </si>
  <si>
    <t xml:space="preserve"> N10_P(20-30)_S(10-15)_A(40-60)_W5_Wo2_P9</t>
  </si>
  <si>
    <t xml:space="preserve"> N10_P(20-30)_S(10-15)_A(40-60)_W5_Wo2_P10</t>
  </si>
  <si>
    <t xml:space="preserve"> N15_P(10-20)_S(5-10)_A(20-40)_W7_Wo3_P1</t>
  </si>
  <si>
    <t xml:space="preserve"> N15_P(10-20)_S(5-10)_A(20-40)_W7_Wo3_P2</t>
  </si>
  <si>
    <t xml:space="preserve"> N15_P(10-20)_S(5-10)_A(20-40)_W7_Wo3_P3</t>
  </si>
  <si>
    <t xml:space="preserve"> N15_P(10-20)_S(5-10)_A(20-40)_W7_Wo3_P4</t>
  </si>
  <si>
    <t xml:space="preserve"> N15_P(10-20)_S(5-10)_A(20-40)_W7_Wo3_P5</t>
  </si>
  <si>
    <t xml:space="preserve"> N15_P(10-20)_S(5-10)_A(20-40)_W7_Wo3_P6</t>
  </si>
  <si>
    <t xml:space="preserve"> N15_P(10-20)_S(5-10)_A(20-40)_W7_Wo3_P7</t>
  </si>
  <si>
    <t xml:space="preserve"> N15_P(10-20)_S(5-10)_A(20-40)_W7_Wo3_P8</t>
  </si>
  <si>
    <t xml:space="preserve"> N15_P(10-20)_S(5-10)_A(20-40)_W7_Wo3_P9</t>
  </si>
  <si>
    <t xml:space="preserve"> N15_P(10-20)_S(5-10)_A(20-40)_W7_Wo3_P10</t>
  </si>
  <si>
    <t xml:space="preserve"> N15_P(10-20)_S(5-10)_A(40-60)_W7_Wo3_P1</t>
  </si>
  <si>
    <t xml:space="preserve"> N15_P(10-20)_S(5-10)_A(40-60)_W7_Wo3_P2</t>
  </si>
  <si>
    <t xml:space="preserve"> N15_P(10-20)_S(5-10)_A(40-60)_W7_Wo3_P3</t>
  </si>
  <si>
    <t xml:space="preserve"> N15_P(10-20)_S(5-10)_A(40-60)_W7_Wo3_P4</t>
  </si>
  <si>
    <t xml:space="preserve"> N15_P(10-20)_S(5-10)_A(40-60)_W7_Wo3_P5</t>
  </si>
  <si>
    <t xml:space="preserve"> N15_P(10-20)_S(5-10)_A(40-60)_W7_Wo3_P6</t>
  </si>
  <si>
    <t xml:space="preserve"> N15_P(10-20)_S(5-10)_A(40-60)_W7_Wo3_P7</t>
  </si>
  <si>
    <t xml:space="preserve"> N15_P(10-20)_S(5-10)_A(40-60)_W7_Wo3_P8</t>
  </si>
  <si>
    <t xml:space="preserve"> N15_P(10-20)_S(5-10)_A(40-60)_W7_Wo3_P9</t>
  </si>
  <si>
    <t xml:space="preserve"> N15_P(10-20)_S(5-10)_A(40-60)_W7_Wo3_P10</t>
  </si>
  <si>
    <t xml:space="preserve"> N15_P(10-20)_S(10-15)_A(20-40)_W7_Wo3_P1</t>
  </si>
  <si>
    <t xml:space="preserve"> N15_P(10-20)_S(10-15)_A(20-40)_W7_Wo3_P2</t>
  </si>
  <si>
    <t xml:space="preserve"> N15_P(10-20)_S(10-15)_A(20-40)_W7_Wo3_P3</t>
  </si>
  <si>
    <t xml:space="preserve"> N15_P(10-20)_S(10-15)_A(20-40)_W7_Wo3_P4</t>
  </si>
  <si>
    <t xml:space="preserve"> N15_P(10-20)_S(10-15)_A(20-40)_W7_Wo3_P5</t>
  </si>
  <si>
    <t xml:space="preserve"> N15_P(10-20)_S(10-15)_A(20-40)_W7_Wo3_P6</t>
  </si>
  <si>
    <t xml:space="preserve"> N15_P(10-20)_S(10-15)_A(20-40)_W7_Wo3_P7</t>
  </si>
  <si>
    <t xml:space="preserve"> N15_P(10-20)_S(10-15)_A(20-40)_W7_Wo3_P8</t>
  </si>
  <si>
    <t xml:space="preserve"> N15_P(10-20)_S(10-15)_A(20-40)_W7_Wo3_P9</t>
  </si>
  <si>
    <t xml:space="preserve"> N15_P(10-20)_S(10-15)_A(20-40)_W7_Wo3_P10</t>
  </si>
  <si>
    <t xml:space="preserve"> N15_P(10-20)_S(10-15)_A(40-60)_W7_Wo3_P1</t>
  </si>
  <si>
    <t xml:space="preserve"> N15_P(10-20)_S(10-15)_A(40-60)_W7_Wo3_P2</t>
  </si>
  <si>
    <t xml:space="preserve"> N15_P(10-20)_S(10-15)_A(40-60)_W7_Wo3_P3</t>
  </si>
  <si>
    <t xml:space="preserve"> N15_P(10-20)_S(10-15)_A(40-60)_W7_Wo3_P4</t>
  </si>
  <si>
    <t xml:space="preserve"> N15_P(10-20)_S(10-15)_A(40-60)_W7_Wo3_P5</t>
  </si>
  <si>
    <t xml:space="preserve"> N15_P(10-20)_S(10-15)_A(40-60)_W7_Wo3_P6</t>
  </si>
  <si>
    <t xml:space="preserve"> N15_P(10-20)_S(10-15)_A(40-60)_W7_Wo3_P7</t>
  </si>
  <si>
    <t xml:space="preserve"> N15_P(10-20)_S(10-15)_A(40-60)_W7_Wo3_P8</t>
  </si>
  <si>
    <t xml:space="preserve"> N15_P(10-20)_S(10-15)_A(40-60)_W7_Wo3_P9</t>
  </si>
  <si>
    <t xml:space="preserve"> N15_P(10-20)_S(10-15)_A(40-60)_W7_Wo3_P10</t>
  </si>
  <si>
    <t xml:space="preserve"> N15_P(20-30)_S(5-10)_A(20-40)_W7_Wo3_P1</t>
  </si>
  <si>
    <t xml:space="preserve"> N15_P(20-30)_S(5-10)_A(20-40)_W7_Wo3_P2</t>
  </si>
  <si>
    <t xml:space="preserve"> N15_P(20-30)_S(5-10)_A(20-40)_W7_Wo3_P3</t>
  </si>
  <si>
    <t xml:space="preserve"> N15_P(20-30)_S(5-10)_A(20-40)_W7_Wo3_P4</t>
  </si>
  <si>
    <t xml:space="preserve"> N15_P(20-30)_S(5-10)_A(20-40)_W7_Wo3_P5</t>
  </si>
  <si>
    <t xml:space="preserve"> N15_P(20-30)_S(5-10)_A(20-40)_W7_Wo3_P6</t>
  </si>
  <si>
    <t xml:space="preserve"> N15_P(20-30)_S(5-10)_A(20-40)_W7_Wo3_P7</t>
  </si>
  <si>
    <t xml:space="preserve"> N15_P(20-30)_S(5-10)_A(20-40)_W7_Wo3_P8</t>
  </si>
  <si>
    <t xml:space="preserve"> N15_P(20-30)_S(5-10)_A(20-40)_W7_Wo3_P9</t>
  </si>
  <si>
    <t xml:space="preserve"> N15_P(20-30)_S(5-10)_A(20-40)_W7_Wo3_P10</t>
  </si>
  <si>
    <t xml:space="preserve"> N15_P(20-30)_S(5-10)_A(40-60)_W7_Wo3_P1</t>
  </si>
  <si>
    <t xml:space="preserve"> N15_P(20-30)_S(5-10)_A(40-60)_W7_Wo3_P2</t>
  </si>
  <si>
    <t xml:space="preserve"> N15_P(20-30)_S(5-10)_A(40-60)_W7_Wo3_P3</t>
  </si>
  <si>
    <t xml:space="preserve"> N15_P(20-30)_S(5-10)_A(40-60)_W7_Wo3_P4</t>
  </si>
  <si>
    <t xml:space="preserve"> N15_P(20-30)_S(5-10)_A(40-60)_W7_Wo3_P5</t>
  </si>
  <si>
    <t xml:space="preserve"> N15_P(20-30)_S(5-10)_A(40-60)_W7_Wo3_P6</t>
  </si>
  <si>
    <t xml:space="preserve"> N15_P(20-30)_S(5-10)_A(40-60)_W7_Wo3_P7</t>
  </si>
  <si>
    <t xml:space="preserve"> N15_P(20-30)_S(5-10)_A(40-60)_W7_Wo3_P8</t>
  </si>
  <si>
    <t xml:space="preserve"> N15_P(20-30)_S(5-10)_A(40-60)_W7_Wo3_P9</t>
  </si>
  <si>
    <t xml:space="preserve"> N15_P(20-30)_S(5-10)_A(40-60)_W7_Wo3_P10</t>
  </si>
  <si>
    <t xml:space="preserve"> N15_P(20-30)_S(10-15)_A(20-40)_W7_Wo3_P1</t>
  </si>
  <si>
    <t xml:space="preserve"> N15_P(20-30)_S(10-15)_A(20-40)_W7_Wo3_P2</t>
  </si>
  <si>
    <t xml:space="preserve"> N15_P(20-30)_S(10-15)_A(20-40)_W7_Wo3_P3</t>
  </si>
  <si>
    <t xml:space="preserve"> N15_P(20-30)_S(10-15)_A(20-40)_W7_Wo3_P4</t>
  </si>
  <si>
    <t xml:space="preserve"> N15_P(20-30)_S(10-15)_A(20-40)_W7_Wo3_P5</t>
  </si>
  <si>
    <t xml:space="preserve"> N15_P(20-30)_S(10-15)_A(20-40)_W7_Wo3_P6</t>
  </si>
  <si>
    <t xml:space="preserve"> N15_P(20-30)_S(10-15)_A(20-40)_W7_Wo3_P7</t>
  </si>
  <si>
    <t xml:space="preserve"> N15_P(20-30)_S(10-15)_A(20-40)_W7_Wo3_P8</t>
  </si>
  <si>
    <t xml:space="preserve"> N15_P(20-30)_S(10-15)_A(20-40)_W7_Wo3_P9</t>
  </si>
  <si>
    <t xml:space="preserve"> N15_P(20-30)_S(10-15)_A(20-40)_W7_Wo3_P10</t>
  </si>
  <si>
    <t xml:space="preserve"> N15_P(20-30)_S(10-15)_A(40-60)_W7_Wo3_P1</t>
  </si>
  <si>
    <t xml:space="preserve"> N15_P(20-30)_S(10-15)_A(40-60)_W7_Wo3_P2</t>
  </si>
  <si>
    <t xml:space="preserve"> N15_P(20-30)_S(10-15)_A(40-60)_W7_Wo3_P3</t>
  </si>
  <si>
    <t xml:space="preserve"> N15_P(20-30)_S(10-15)_A(40-60)_W7_Wo3_P4</t>
  </si>
  <si>
    <t xml:space="preserve"> N15_P(20-30)_S(10-15)_A(40-60)_W7_Wo3_P5</t>
  </si>
  <si>
    <t xml:space="preserve"> N15_P(20-30)_S(10-15)_A(40-60)_W7_Wo3_P6</t>
  </si>
  <si>
    <t xml:space="preserve"> N15_P(20-30)_S(10-15)_A(40-60)_W7_Wo3_P7</t>
  </si>
  <si>
    <t xml:space="preserve"> N15_P(20-30)_S(10-15)_A(40-60)_W7_Wo3_P8</t>
  </si>
  <si>
    <t xml:space="preserve"> N15_P(20-30)_S(10-15)_A(40-60)_W7_Wo3_P9</t>
  </si>
  <si>
    <t xml:space="preserve"> N15_P(20-30)_S(10-15)_A(40-60)_W7_Wo3_P10</t>
  </si>
  <si>
    <t xml:space="preserve"> N20_P(10-20)_S(5-10)_A(20-40)_W10_Wo5_P1</t>
  </si>
  <si>
    <t xml:space="preserve"> N20_P(10-20)_S(5-10)_A(20-40)_W10_Wo5_P2</t>
  </si>
  <si>
    <t xml:space="preserve"> N20_P(10-20)_S(5-10)_A(20-40)_W10_Wo5_P3</t>
  </si>
  <si>
    <t xml:space="preserve"> N20_P(10-20)_S(5-10)_A(20-40)_W10_Wo5_P4</t>
  </si>
  <si>
    <t xml:space="preserve"> N20_P(10-20)_S(5-10)_A(20-40)_W10_Wo5_P5</t>
  </si>
  <si>
    <t xml:space="preserve"> N20_P(10-20)_S(5-10)_A(20-40)_W10_Wo5_P6</t>
  </si>
  <si>
    <t xml:space="preserve"> N20_P(10-20)_S(5-10)_A(20-40)_W10_Wo5_P7</t>
  </si>
  <si>
    <t xml:space="preserve"> N20_P(10-20)_S(5-10)_A(20-40)_W10_Wo5_P8</t>
  </si>
  <si>
    <t xml:space="preserve"> N20_P(10-20)_S(5-10)_A(20-40)_W10_Wo5_P9</t>
  </si>
  <si>
    <t xml:space="preserve"> N20_P(10-20)_S(5-10)_A(20-40)_W10_Wo5_P10</t>
  </si>
  <si>
    <t xml:space="preserve"> N20_P(10-20)_S(5-10)_A(40-60)_W10_Wo5_P1</t>
  </si>
  <si>
    <t xml:space="preserve"> N20_P(10-20)_S(5-10)_A(40-60)_W10_Wo5_P2</t>
  </si>
  <si>
    <t xml:space="preserve"> N20_P(10-20)_S(5-10)_A(40-60)_W10_Wo5_P3</t>
  </si>
  <si>
    <t xml:space="preserve"> N20_P(10-20)_S(5-10)_A(40-60)_W10_Wo5_P4</t>
  </si>
  <si>
    <t xml:space="preserve"> N20_P(10-20)_S(5-10)_A(40-60)_W10_Wo5_P5</t>
  </si>
  <si>
    <t xml:space="preserve"> N20_P(10-20)_S(5-10)_A(40-60)_W10_Wo5_P6</t>
  </si>
  <si>
    <t xml:space="preserve"> N20_P(10-20)_S(5-10)_A(40-60)_W10_Wo5_P7</t>
  </si>
  <si>
    <t xml:space="preserve"> N20_P(10-20)_S(5-10)_A(40-60)_W10_Wo5_P8</t>
  </si>
  <si>
    <t xml:space="preserve"> N20_P(10-20)_S(5-10)_A(40-60)_W10_Wo5_P9</t>
  </si>
  <si>
    <t xml:space="preserve"> N20_P(10-20)_S(5-10)_A(40-60)_W10_Wo5_P10</t>
  </si>
  <si>
    <t xml:space="preserve"> N20_P(10-20)_S(10-15)_A(20-40)_W10_Wo5_P1</t>
  </si>
  <si>
    <t xml:space="preserve"> N20_P(10-20)_S(10-15)_A(20-40)_W10_Wo5_P2</t>
  </si>
  <si>
    <t xml:space="preserve"> N20_P(10-20)_S(10-15)_A(20-40)_W10_Wo5_P3</t>
  </si>
  <si>
    <t xml:space="preserve"> N20_P(10-20)_S(10-15)_A(20-40)_W10_Wo5_P4</t>
  </si>
  <si>
    <t xml:space="preserve"> N20_P(10-20)_S(10-15)_A(20-40)_W10_Wo5_P5</t>
  </si>
  <si>
    <t xml:space="preserve"> N20_P(10-20)_S(10-15)_A(20-40)_W10_Wo5_P6</t>
  </si>
  <si>
    <t xml:space="preserve"> N20_P(10-20)_S(10-15)_A(20-40)_W10_Wo5_P7</t>
  </si>
  <si>
    <t xml:space="preserve"> N20_P(10-20)_S(10-15)_A(20-40)_W10_Wo5_P8</t>
  </si>
  <si>
    <t xml:space="preserve"> N20_P(10-20)_S(10-15)_A(20-40)_W10_Wo5_P9</t>
  </si>
  <si>
    <t xml:space="preserve"> N20_P(10-20)_S(10-15)_A(20-40)_W10_Wo5_P10</t>
  </si>
  <si>
    <t xml:space="preserve"> N20_P(10-20)_S(10-15)_A(40-60)_W10_Wo5_P1</t>
  </si>
  <si>
    <t xml:space="preserve"> N20_P(10-20)_S(10-15)_A(40-60)_W10_Wo5_P2</t>
  </si>
  <si>
    <t xml:space="preserve"> N20_P(10-20)_S(10-15)_A(40-60)_W10_Wo5_P3</t>
  </si>
  <si>
    <t xml:space="preserve"> N20_P(10-20)_S(10-15)_A(40-60)_W10_Wo5_P4</t>
  </si>
  <si>
    <t xml:space="preserve"> N20_P(10-20)_S(10-15)_A(40-60)_W10_Wo5_P5</t>
  </si>
  <si>
    <t xml:space="preserve"> N20_P(10-20)_S(10-15)_A(40-60)_W10_Wo5_P6</t>
  </si>
  <si>
    <t xml:space="preserve"> N20_P(10-20)_S(10-15)_A(40-60)_W10_Wo5_P7</t>
  </si>
  <si>
    <t xml:space="preserve"> N20_P(10-20)_S(10-15)_A(40-60)_W10_Wo5_P8</t>
  </si>
  <si>
    <t xml:space="preserve"> N20_P(10-20)_S(10-15)_A(40-60)_W10_Wo5_P9</t>
  </si>
  <si>
    <t xml:space="preserve"> N20_P(10-20)_S(10-15)_A(40-60)_W10_Wo5_P10</t>
  </si>
  <si>
    <t xml:space="preserve"> N20_P(20-30)_S(5-10)_A(20-40)_W10_Wo5_P1</t>
  </si>
  <si>
    <t xml:space="preserve"> N20_P(20-30)_S(5-10)_A(20-40)_W10_Wo5_P2</t>
  </si>
  <si>
    <t xml:space="preserve"> N20_P(20-30)_S(5-10)_A(20-40)_W10_Wo5_P3</t>
  </si>
  <si>
    <t xml:space="preserve"> N20_P(20-30)_S(5-10)_A(20-40)_W10_Wo5_P4</t>
  </si>
  <si>
    <t xml:space="preserve"> N20_P(20-30)_S(5-10)_A(20-40)_W10_Wo5_P5</t>
  </si>
  <si>
    <t xml:space="preserve"> N20_P(20-30)_S(5-10)_A(20-40)_W10_Wo5_P6</t>
  </si>
  <si>
    <t xml:space="preserve"> N20_P(20-30)_S(5-10)_A(20-40)_W10_Wo5_P7</t>
  </si>
  <si>
    <t xml:space="preserve"> N20_P(20-30)_S(5-10)_A(20-40)_W10_Wo5_P8</t>
  </si>
  <si>
    <t xml:space="preserve"> N20_P(20-30)_S(5-10)_A(20-40)_W10_Wo5_P9</t>
  </si>
  <si>
    <t xml:space="preserve"> N20_P(20-30)_S(5-10)_A(20-40)_W10_Wo5_P10</t>
  </si>
  <si>
    <t xml:space="preserve"> N20_P(20-30)_S(5-10)_A(40-60)_W10_Wo5_P1</t>
  </si>
  <si>
    <t xml:space="preserve"> N20_P(20-30)_S(5-10)_A(40-60)_W10_Wo5_P2</t>
  </si>
  <si>
    <t xml:space="preserve"> N20_P(20-30)_S(5-10)_A(40-60)_W10_Wo5_P3</t>
  </si>
  <si>
    <t xml:space="preserve"> N20_P(20-30)_S(5-10)_A(40-60)_W10_Wo5_P4</t>
  </si>
  <si>
    <t xml:space="preserve"> N20_P(20-30)_S(5-10)_A(40-60)_W10_Wo5_P5</t>
  </si>
  <si>
    <t xml:space="preserve"> N20_P(20-30)_S(5-10)_A(40-60)_W10_Wo5_P6</t>
  </si>
  <si>
    <t xml:space="preserve"> N20_P(20-30)_S(5-10)_A(40-60)_W10_Wo5_P7</t>
  </si>
  <si>
    <t xml:space="preserve"> N20_P(20-30)_S(5-10)_A(40-60)_W10_Wo5_P8</t>
  </si>
  <si>
    <t xml:space="preserve"> N20_P(20-30)_S(5-10)_A(40-60)_W10_Wo5_P9</t>
  </si>
  <si>
    <t xml:space="preserve"> N20_P(20-30)_S(5-10)_A(40-60)_W10_Wo5_P10</t>
  </si>
  <si>
    <t xml:space="preserve"> N20_P(20-30)_S(10-15)_A(20-40)_W10_Wo5_P1</t>
  </si>
  <si>
    <t xml:space="preserve"> N20_P(20-30)_S(10-15)_A(20-40)_W10_Wo5_P2</t>
  </si>
  <si>
    <t xml:space="preserve"> N20_P(20-30)_S(10-15)_A(20-40)_W10_Wo5_P3</t>
  </si>
  <si>
    <t xml:space="preserve"> N20_P(20-30)_S(10-15)_A(20-40)_W10_Wo5_P4</t>
  </si>
  <si>
    <t xml:space="preserve"> N20_P(20-30)_S(10-15)_A(20-40)_W10_Wo5_P5</t>
  </si>
  <si>
    <t xml:space="preserve"> N20_P(20-30)_S(10-15)_A(20-40)_W10_Wo5_P6</t>
  </si>
  <si>
    <t xml:space="preserve"> N20_P(20-30)_S(10-15)_A(20-40)_W10_Wo5_P7</t>
  </si>
  <si>
    <t xml:space="preserve"> N20_P(20-30)_S(10-15)_A(20-40)_W10_Wo5_P8</t>
  </si>
  <si>
    <t xml:space="preserve"> N20_P(20-30)_S(10-15)_A(20-40)_W10_Wo5_P9</t>
  </si>
  <si>
    <t xml:space="preserve"> N20_P(20-30)_S(10-15)_A(20-40)_W10_Wo5_P10</t>
  </si>
  <si>
    <t xml:space="preserve"> N20_P(20-30)_S(10-15)_A(40-60)_W10_Wo5_P1</t>
  </si>
  <si>
    <t xml:space="preserve"> N20_P(20-30)_S(10-15)_A(40-60)_W10_Wo5_P2</t>
  </si>
  <si>
    <t xml:space="preserve"> N20_P(20-30)_S(10-15)_A(40-60)_W10_Wo5_P3</t>
  </si>
  <si>
    <t xml:space="preserve"> N20_P(20-30)_S(10-15)_A(40-60)_W10_Wo5_P4</t>
  </si>
  <si>
    <t xml:space="preserve"> N20_P(20-30)_S(10-15)_A(40-60)_W10_Wo5_P5</t>
  </si>
  <si>
    <t xml:space="preserve"> N20_P(20-30)_S(10-15)_A(40-60)_W10_Wo5_P6</t>
  </si>
  <si>
    <t xml:space="preserve"> N20_P(20-30)_S(10-15)_A(40-60)_W10_Wo5_P7</t>
  </si>
  <si>
    <t xml:space="preserve"> N20_P(20-30)_S(10-15)_A(40-60)_W10_Wo5_P8</t>
  </si>
  <si>
    <t xml:space="preserve"> N20_P(20-30)_S(10-15)_A(40-60)_W10_Wo5_P9</t>
  </si>
  <si>
    <t xml:space="preserve"> N20_P(20-30)_S(10-15)_A(40-60)_W10_Wo5_P10</t>
  </si>
  <si>
    <t xml:space="preserve"> N25_P(10-20)_S(5-10)_A(20-40)_W12_Wo6_P1</t>
  </si>
  <si>
    <t xml:space="preserve"> N25_P(10-20)_S(5-10)_A(20-40)_W12_Wo6_P2</t>
  </si>
  <si>
    <t xml:space="preserve"> N25_P(10-20)_S(5-10)_A(20-40)_W12_Wo6_P3</t>
  </si>
  <si>
    <t xml:space="preserve"> N25_P(10-20)_S(5-10)_A(20-40)_W12_Wo6_P4</t>
  </si>
  <si>
    <t xml:space="preserve"> N25_P(10-20)_S(5-10)_A(20-40)_W12_Wo6_P5</t>
  </si>
  <si>
    <t xml:space="preserve"> N25_P(10-20)_S(5-10)_A(20-40)_W12_Wo6_P6</t>
  </si>
  <si>
    <t xml:space="preserve"> N25_P(10-20)_S(5-10)_A(20-40)_W12_Wo6_P7</t>
  </si>
  <si>
    <t xml:space="preserve"> N25_P(10-20)_S(5-10)_A(20-40)_W12_Wo6_P8</t>
  </si>
  <si>
    <t xml:space="preserve"> N25_P(10-20)_S(5-10)_A(20-40)_W12_Wo6_P9</t>
  </si>
  <si>
    <t xml:space="preserve"> N25_P(10-20)_S(5-10)_A(20-40)_W12_Wo6_P10</t>
  </si>
  <si>
    <t xml:space="preserve"> N25_P(10-20)_S(5-10)_A(40-60)_W12_Wo6_P1</t>
  </si>
  <si>
    <t xml:space="preserve"> N25_P(10-20)_S(5-10)_A(40-60)_W12_Wo6_P2</t>
  </si>
  <si>
    <t xml:space="preserve"> N25_P(10-20)_S(5-10)_A(40-60)_W12_Wo6_P3</t>
  </si>
  <si>
    <t xml:space="preserve"> N25_P(10-20)_S(5-10)_A(40-60)_W12_Wo6_P4</t>
  </si>
  <si>
    <t xml:space="preserve"> N25_P(10-20)_S(5-10)_A(40-60)_W12_Wo6_P5</t>
  </si>
  <si>
    <t xml:space="preserve"> N25_P(10-20)_S(5-10)_A(40-60)_W12_Wo6_P6</t>
  </si>
  <si>
    <t xml:space="preserve"> N25_P(10-20)_S(5-10)_A(40-60)_W12_Wo6_P7</t>
  </si>
  <si>
    <t xml:space="preserve"> N25_P(10-20)_S(5-10)_A(40-60)_W12_Wo6_P8</t>
  </si>
  <si>
    <t xml:space="preserve"> N25_P(10-20)_S(5-10)_A(40-60)_W12_Wo6_P9</t>
  </si>
  <si>
    <t xml:space="preserve"> N25_P(10-20)_S(5-10)_A(40-60)_W12_Wo6_P10</t>
  </si>
  <si>
    <t xml:space="preserve"> N25_P(10-20)_S(10-15)_A(20-40)_W12_Wo6_P1</t>
  </si>
  <si>
    <t xml:space="preserve"> N25_P(10-20)_S(10-15)_A(20-40)_W12_Wo6_P2</t>
  </si>
  <si>
    <t xml:space="preserve"> N25_P(10-20)_S(10-15)_A(20-40)_W12_Wo6_P3</t>
  </si>
  <si>
    <t xml:space="preserve"> N25_P(10-20)_S(10-15)_A(20-40)_W12_Wo6_P4</t>
  </si>
  <si>
    <t xml:space="preserve"> N25_P(10-20)_S(10-15)_A(20-40)_W12_Wo6_P5</t>
  </si>
  <si>
    <t xml:space="preserve"> N25_P(10-20)_S(10-15)_A(20-40)_W12_Wo6_P6</t>
  </si>
  <si>
    <t xml:space="preserve"> N25_P(10-20)_S(10-15)_A(20-40)_W12_Wo6_P7</t>
  </si>
  <si>
    <t xml:space="preserve"> N25_P(10-20)_S(10-15)_A(20-40)_W12_Wo6_P8</t>
  </si>
  <si>
    <t xml:space="preserve"> N25_P(10-20)_S(10-15)_A(20-40)_W12_Wo6_P9</t>
  </si>
  <si>
    <t xml:space="preserve"> N25_P(10-20)_S(10-15)_A(20-40)_W12_Wo6_P10</t>
  </si>
  <si>
    <t xml:space="preserve"> N25_P(10-20)_S(10-15)_A(40-60)_W12_Wo6_P1</t>
  </si>
  <si>
    <t xml:space="preserve"> N25_P(10-20)_S(10-15)_A(40-60)_W12_Wo6_P2</t>
  </si>
  <si>
    <t xml:space="preserve"> N25_P(10-20)_S(10-15)_A(40-60)_W12_Wo6_P3</t>
  </si>
  <si>
    <t xml:space="preserve"> N25_P(10-20)_S(10-15)_A(40-60)_W12_Wo6_P4</t>
  </si>
  <si>
    <t xml:space="preserve"> N25_P(10-20)_S(10-15)_A(40-60)_W12_Wo6_P5</t>
  </si>
  <si>
    <t xml:space="preserve"> N25_P(10-20)_S(10-15)_A(40-60)_W12_Wo6_P6</t>
  </si>
  <si>
    <t xml:space="preserve"> N25_P(10-20)_S(10-15)_A(40-60)_W12_Wo6_P7</t>
  </si>
  <si>
    <t xml:space="preserve"> N25_P(10-20)_S(10-15)_A(40-60)_W12_Wo6_P8</t>
  </si>
  <si>
    <t xml:space="preserve"> N25_P(10-20)_S(10-15)_A(40-60)_W12_Wo6_P9</t>
  </si>
  <si>
    <t xml:space="preserve"> N25_P(10-20)_S(10-15)_A(40-60)_W12_Wo6_P10</t>
  </si>
  <si>
    <t xml:space="preserve"> N25_P(20-30)_S(5-10)_A(20-40)_W12_Wo6_P1</t>
  </si>
  <si>
    <t xml:space="preserve"> N25_P(20-30)_S(5-10)_A(20-40)_W12_Wo6_P2</t>
  </si>
  <si>
    <t xml:space="preserve"> N25_P(20-30)_S(5-10)_A(20-40)_W12_Wo6_P3</t>
  </si>
  <si>
    <t xml:space="preserve"> N25_P(20-30)_S(5-10)_A(20-40)_W12_Wo6_P4</t>
  </si>
  <si>
    <t xml:space="preserve"> N25_P(20-30)_S(5-10)_A(20-40)_W12_Wo6_P5</t>
  </si>
  <si>
    <t xml:space="preserve"> N25_P(20-30)_S(5-10)_A(20-40)_W12_Wo6_P6</t>
  </si>
  <si>
    <t xml:space="preserve"> N25_P(20-30)_S(5-10)_A(20-40)_W12_Wo6_P7</t>
  </si>
  <si>
    <t xml:space="preserve"> N25_P(20-30)_S(5-10)_A(20-40)_W12_Wo6_P8</t>
  </si>
  <si>
    <t xml:space="preserve"> N25_P(20-30)_S(5-10)_A(20-40)_W12_Wo6_P9</t>
  </si>
  <si>
    <t xml:space="preserve"> N25_P(20-30)_S(5-10)_A(20-40)_W12_Wo6_P10</t>
  </si>
  <si>
    <t xml:space="preserve"> N25_P(20-30)_S(5-10)_A(40-60)_W12_Wo6_P1</t>
  </si>
  <si>
    <t xml:space="preserve"> N25_P(20-30)_S(5-10)_A(40-60)_W12_Wo6_P2</t>
  </si>
  <si>
    <t xml:space="preserve"> N25_P(20-30)_S(5-10)_A(40-60)_W12_Wo6_P3</t>
  </si>
  <si>
    <t xml:space="preserve"> N25_P(20-30)_S(5-10)_A(40-60)_W12_Wo6_P4</t>
  </si>
  <si>
    <t xml:space="preserve"> N25_P(20-30)_S(5-10)_A(40-60)_W12_Wo6_P5</t>
  </si>
  <si>
    <t xml:space="preserve"> N25_P(20-30)_S(5-10)_A(40-60)_W12_Wo6_P6</t>
  </si>
  <si>
    <t xml:space="preserve"> N25_P(20-30)_S(5-10)_A(40-60)_W12_Wo6_P7</t>
  </si>
  <si>
    <t xml:space="preserve"> N25_P(20-30)_S(5-10)_A(40-60)_W12_Wo6_P8</t>
  </si>
  <si>
    <t xml:space="preserve"> N25_P(20-30)_S(5-10)_A(40-60)_W12_Wo6_P9</t>
  </si>
  <si>
    <t xml:space="preserve"> N25_P(20-30)_S(5-10)_A(40-60)_W12_Wo6_P10</t>
  </si>
  <si>
    <t xml:space="preserve"> N25_P(20-30)_S(10-15)_A(20-40)_W12_Wo6_P1</t>
  </si>
  <si>
    <t xml:space="preserve"> N25_P(20-30)_S(10-15)_A(20-40)_W12_Wo6_P2</t>
  </si>
  <si>
    <t xml:space="preserve"> N25_P(20-30)_S(10-15)_A(20-40)_W12_Wo6_P3</t>
  </si>
  <si>
    <t xml:space="preserve"> N25_P(20-30)_S(10-15)_A(20-40)_W12_Wo6_P4</t>
  </si>
  <si>
    <t xml:space="preserve"> N25_P(20-30)_S(10-15)_A(20-40)_W12_Wo6_P5</t>
  </si>
  <si>
    <t xml:space="preserve"> N25_P(20-30)_S(10-15)_A(20-40)_W12_Wo6_P6</t>
  </si>
  <si>
    <t xml:space="preserve"> N25_P(20-30)_S(10-15)_A(20-40)_W12_Wo6_P7</t>
  </si>
  <si>
    <t xml:space="preserve"> N25_P(20-30)_S(10-15)_A(20-40)_W12_Wo6_P8</t>
  </si>
  <si>
    <t xml:space="preserve"> N25_P(20-30)_S(10-15)_A(20-40)_W12_Wo6_P9</t>
  </si>
  <si>
    <t xml:space="preserve"> N25_P(20-30)_S(10-15)_A(20-40)_W12_Wo6_P10</t>
  </si>
  <si>
    <t xml:space="preserve"> N25_P(20-30)_S(10-15)_A(40-60)_W12_Wo6_P1</t>
  </si>
  <si>
    <t xml:space="preserve"> N25_P(20-30)_S(10-15)_A(40-60)_W12_Wo6_P2</t>
  </si>
  <si>
    <t xml:space="preserve"> N25_P(20-30)_S(10-15)_A(40-60)_W12_Wo6_P3</t>
  </si>
  <si>
    <t xml:space="preserve"> N25_P(20-30)_S(10-15)_A(40-60)_W12_Wo6_P4</t>
  </si>
  <si>
    <t xml:space="preserve"> N25_P(20-30)_S(10-15)_A(40-60)_W12_Wo6_P5</t>
  </si>
  <si>
    <t xml:space="preserve"> N25_P(20-30)_S(10-15)_A(40-60)_W12_Wo6_P6</t>
  </si>
  <si>
    <t xml:space="preserve"> N25_P(20-30)_S(10-15)_A(40-60)_W12_Wo6_P7</t>
  </si>
  <si>
    <t xml:space="preserve"> N25_P(20-30)_S(10-15)_A(40-60)_W12_Wo6_P8</t>
  </si>
  <si>
    <t xml:space="preserve"> N25_P(20-30)_S(10-15)_A(40-60)_W12_Wo6_P9</t>
  </si>
  <si>
    <t xml:space="preserve"> N25_P(20-30)_S(10-15)_A(40-60)_W12_Wo6_P10</t>
  </si>
  <si>
    <t xml:space="preserve"> N50_P(10-20)_S(5-10)_A(20-40)_W25_Wo12_P1</t>
  </si>
  <si>
    <t xml:space="preserve"> N50_P(10-20)_S(5-10)_A(20-40)_W25_Wo12_P2</t>
  </si>
  <si>
    <t xml:space="preserve"> N50_P(10-20)_S(5-10)_A(20-40)_W25_Wo12_P3</t>
  </si>
  <si>
    <t xml:space="preserve"> N50_P(10-20)_S(5-10)_A(20-40)_W25_Wo12_P4</t>
  </si>
  <si>
    <t xml:space="preserve"> N50_P(10-20)_S(5-10)_A(20-40)_W25_Wo12_P5</t>
  </si>
  <si>
    <t xml:space="preserve"> N50_P(10-20)_S(5-10)_A(20-40)_W25_Wo12_P6</t>
  </si>
  <si>
    <t xml:space="preserve"> N50_P(10-20)_S(5-10)_A(20-40)_W25_Wo12_P7</t>
  </si>
  <si>
    <t xml:space="preserve"> N50_P(10-20)_S(5-10)_A(20-40)_W25_Wo12_P8</t>
  </si>
  <si>
    <t xml:space="preserve"> N50_P(10-20)_S(5-10)_A(20-40)_W25_Wo12_P9</t>
  </si>
  <si>
    <t xml:space="preserve"> N50_P(10-20)_S(5-10)_A(20-40)_W25_Wo12_P10</t>
  </si>
  <si>
    <t xml:space="preserve"> N50_P(10-20)_S(5-10)_A(40-60)_W25_Wo12_P1</t>
  </si>
  <si>
    <t xml:space="preserve"> N50_P(10-20)_S(5-10)_A(40-60)_W25_Wo12_P2</t>
  </si>
  <si>
    <t xml:space="preserve"> N50_P(10-20)_S(5-10)_A(40-60)_W25_Wo12_P3</t>
  </si>
  <si>
    <t xml:space="preserve"> N50_P(10-20)_S(5-10)_A(40-60)_W25_Wo12_P4</t>
  </si>
  <si>
    <t xml:space="preserve"> N50_P(10-20)_S(5-10)_A(40-60)_W25_Wo12_P5</t>
  </si>
  <si>
    <t xml:space="preserve"> N50_P(10-20)_S(5-10)_A(40-60)_W25_Wo12_P6</t>
  </si>
  <si>
    <t xml:space="preserve"> N50_P(10-20)_S(5-10)_A(40-60)_W25_Wo12_P7</t>
  </si>
  <si>
    <t xml:space="preserve"> N50_P(10-20)_S(5-10)_A(40-60)_W25_Wo12_P8</t>
  </si>
  <si>
    <t xml:space="preserve"> N50_P(10-20)_S(5-10)_A(40-60)_W25_Wo12_P9</t>
  </si>
  <si>
    <t xml:space="preserve"> N50_P(10-20)_S(5-10)_A(40-60)_W25_Wo12_P10</t>
  </si>
  <si>
    <t xml:space="preserve"> N50_P(10-20)_S(10-15)_A(20-40)_W25_Wo12_P1</t>
  </si>
  <si>
    <t xml:space="preserve"> N50_P(10-20)_S(10-15)_A(20-40)_W25_Wo12_P2</t>
  </si>
  <si>
    <t xml:space="preserve"> N50_P(10-20)_S(10-15)_A(20-40)_W25_Wo12_P3</t>
  </si>
  <si>
    <t xml:space="preserve"> N50_P(10-20)_S(10-15)_A(20-40)_W25_Wo12_P4</t>
  </si>
  <si>
    <t xml:space="preserve"> N50_P(10-20)_S(10-15)_A(20-40)_W25_Wo12_P5</t>
  </si>
  <si>
    <t xml:space="preserve"> N50_P(10-20)_S(10-15)_A(20-40)_W25_Wo12_P6</t>
  </si>
  <si>
    <t xml:space="preserve"> N50_P(10-20)_S(10-15)_A(20-40)_W25_Wo12_P7</t>
  </si>
  <si>
    <t xml:space="preserve"> N50_P(10-20)_S(10-15)_A(20-40)_W25_Wo12_P8</t>
  </si>
  <si>
    <t xml:space="preserve"> N50_P(10-20)_S(10-15)_A(20-40)_W25_Wo12_P9</t>
  </si>
  <si>
    <t xml:space="preserve"> N50_P(10-20)_S(10-15)_A(20-40)_W25_Wo12_P10</t>
  </si>
  <si>
    <t xml:space="preserve"> N50_P(10-20)_S(10-15)_A(40-60)_W25_Wo12_P1</t>
  </si>
  <si>
    <t xml:space="preserve"> N50_P(10-20)_S(10-15)_A(40-60)_W25_Wo12_P2</t>
  </si>
  <si>
    <t xml:space="preserve"> N50_P(10-20)_S(10-15)_A(40-60)_W25_Wo12_P3</t>
  </si>
  <si>
    <t xml:space="preserve"> N50_P(10-20)_S(10-15)_A(40-60)_W25_Wo12_P4</t>
  </si>
  <si>
    <t xml:space="preserve"> N50_P(10-20)_S(10-15)_A(40-60)_W25_Wo12_P5</t>
  </si>
  <si>
    <t xml:space="preserve"> N50_P(10-20)_S(10-15)_A(40-60)_W25_Wo12_P6</t>
  </si>
  <si>
    <t xml:space="preserve"> N50_P(10-20)_S(10-15)_A(40-60)_W25_Wo12_P7</t>
  </si>
  <si>
    <t xml:space="preserve"> N50_P(10-20)_S(10-15)_A(40-60)_W25_Wo12_P8</t>
  </si>
  <si>
    <t xml:space="preserve"> N50_P(10-20)_S(10-15)_A(40-60)_W25_Wo12_P9</t>
  </si>
  <si>
    <t xml:space="preserve"> N50_P(10-20)_S(10-15)_A(40-60)_W25_Wo12_P10</t>
  </si>
  <si>
    <t xml:space="preserve"> N50_P(20-30)_S(5-10)_A(20-40)_W25_Wo12_P1</t>
  </si>
  <si>
    <t xml:space="preserve"> N50_P(20-30)_S(5-10)_A(20-40)_W25_Wo12_P2</t>
  </si>
  <si>
    <t xml:space="preserve"> N50_P(20-30)_S(5-10)_A(20-40)_W25_Wo12_P3</t>
  </si>
  <si>
    <t xml:space="preserve"> N50_P(20-30)_S(5-10)_A(20-40)_W25_Wo12_P4</t>
  </si>
  <si>
    <t xml:space="preserve"> N50_P(20-30)_S(5-10)_A(20-40)_W25_Wo12_P5</t>
  </si>
  <si>
    <t xml:space="preserve"> N50_P(20-30)_S(5-10)_A(20-40)_W25_Wo12_P6</t>
  </si>
  <si>
    <t xml:space="preserve"> N50_P(20-30)_S(5-10)_A(20-40)_W25_Wo12_P7</t>
  </si>
  <si>
    <t xml:space="preserve"> N50_P(20-30)_S(5-10)_A(20-40)_W25_Wo12_P8</t>
  </si>
  <si>
    <t xml:space="preserve"> N50_P(20-30)_S(5-10)_A(20-40)_W25_Wo12_P9</t>
  </si>
  <si>
    <t xml:space="preserve"> N50_P(20-30)_S(5-10)_A(20-40)_W25_Wo12_P10</t>
  </si>
  <si>
    <t xml:space="preserve"> N50_P(20-30)_S(5-10)_A(40-60)_W25_Wo12_P1</t>
  </si>
  <si>
    <t xml:space="preserve"> N50_P(20-30)_S(5-10)_A(40-60)_W25_Wo12_P2</t>
  </si>
  <si>
    <t xml:space="preserve"> N50_P(20-30)_S(5-10)_A(40-60)_W25_Wo12_P3</t>
  </si>
  <si>
    <t xml:space="preserve"> N50_P(20-30)_S(5-10)_A(40-60)_W25_Wo12_P4</t>
  </si>
  <si>
    <t xml:space="preserve"> N50_P(20-30)_S(5-10)_A(40-60)_W25_Wo12_P5</t>
  </si>
  <si>
    <t xml:space="preserve"> N50_P(20-30)_S(5-10)_A(40-60)_W25_Wo12_P6</t>
  </si>
  <si>
    <t xml:space="preserve"> N50_P(20-30)_S(5-10)_A(40-60)_W25_Wo12_P7</t>
  </si>
  <si>
    <t xml:space="preserve"> N50_P(20-30)_S(5-10)_A(40-60)_W25_Wo12_P8</t>
  </si>
  <si>
    <t xml:space="preserve"> N50_P(20-30)_S(5-10)_A(40-60)_W25_Wo12_P9</t>
  </si>
  <si>
    <t xml:space="preserve"> N50_P(20-30)_S(5-10)_A(40-60)_W25_Wo12_P10</t>
  </si>
  <si>
    <t xml:space="preserve"> N50_P(20-30)_S(10-15)_A(20-40)_W25_Wo12_P1</t>
  </si>
  <si>
    <t xml:space="preserve"> N50_P(20-30)_S(10-15)_A(20-40)_W25_Wo12_P2</t>
  </si>
  <si>
    <t xml:space="preserve"> N50_P(20-30)_S(10-15)_A(20-40)_W25_Wo12_P3</t>
  </si>
  <si>
    <t xml:space="preserve"> N50_P(20-30)_S(10-15)_A(20-40)_W25_Wo12_P4</t>
  </si>
  <si>
    <t xml:space="preserve"> N50_P(20-30)_S(10-15)_A(20-40)_W25_Wo12_P5</t>
  </si>
  <si>
    <t xml:space="preserve"> N50_P(20-30)_S(10-15)_A(20-40)_W25_Wo12_P6</t>
  </si>
  <si>
    <t xml:space="preserve"> N50_P(20-30)_S(10-15)_A(20-40)_W25_Wo12_P7</t>
  </si>
  <si>
    <t xml:space="preserve"> N50_P(20-30)_S(10-15)_A(20-40)_W25_Wo12_P8</t>
  </si>
  <si>
    <t xml:space="preserve"> N50_P(20-30)_S(10-15)_A(20-40)_W25_Wo12_P9</t>
  </si>
  <si>
    <t xml:space="preserve"> N50_P(20-30)_S(10-15)_A(20-40)_W25_Wo12_P10</t>
  </si>
  <si>
    <t xml:space="preserve"> N50_P(20-30)_S(10-15)_A(40-60)_W25_Wo12_P1</t>
  </si>
  <si>
    <t xml:space="preserve"> N50_P(20-30)_S(10-15)_A(40-60)_W25_Wo12_P2</t>
  </si>
  <si>
    <t xml:space="preserve"> N50_P(20-30)_S(10-15)_A(40-60)_W25_Wo12_P3</t>
  </si>
  <si>
    <t xml:space="preserve"> N50_P(20-30)_S(10-15)_A(40-60)_W25_Wo12_P4</t>
  </si>
  <si>
    <t xml:space="preserve"> N50_P(20-30)_S(10-15)_A(40-60)_W25_Wo12_P5</t>
  </si>
  <si>
    <t xml:space="preserve"> N50_P(20-30)_S(10-15)_A(40-60)_W25_Wo12_P6</t>
  </si>
  <si>
    <t xml:space="preserve"> N50_P(20-30)_S(10-15)_A(40-60)_W25_Wo12_P7</t>
  </si>
  <si>
    <t xml:space="preserve"> N50_P(20-30)_S(10-15)_A(40-60)_W25_Wo12_P8</t>
  </si>
  <si>
    <t xml:space="preserve"> N50_P(20-30)_S(10-15)_A(40-60)_W25_Wo12_P9</t>
  </si>
  <si>
    <t xml:space="preserve"> N50_P(20-30)_S(10-15)_A(40-60)_W25_Wo12_P10</t>
  </si>
  <si>
    <t xml:space="preserve"> N75_P(10-20)_S(5-10)_A(20-40)_W37_Wo18_P1</t>
  </si>
  <si>
    <t xml:space="preserve"> N75_P(10-20)_S(5-10)_A(20-40)_W37_Wo18_P2</t>
  </si>
  <si>
    <t xml:space="preserve"> N75_P(10-20)_S(5-10)_A(20-40)_W37_Wo18_P3</t>
  </si>
  <si>
    <t xml:space="preserve"> N75_P(10-20)_S(5-10)_A(20-40)_W37_Wo18_P4</t>
  </si>
  <si>
    <t xml:space="preserve"> N75_P(10-20)_S(5-10)_A(20-40)_W37_Wo18_P5</t>
  </si>
  <si>
    <t xml:space="preserve"> N75_P(10-20)_S(5-10)_A(20-40)_W37_Wo18_P6</t>
  </si>
  <si>
    <t xml:space="preserve"> N75_P(10-20)_S(5-10)_A(20-40)_W37_Wo18_P7</t>
  </si>
  <si>
    <t xml:space="preserve"> N75_P(10-20)_S(5-10)_A(20-40)_W37_Wo18_P8</t>
  </si>
  <si>
    <t xml:space="preserve"> N75_P(10-20)_S(5-10)_A(20-40)_W37_Wo18_P9</t>
  </si>
  <si>
    <t xml:space="preserve"> N75_P(10-20)_S(5-10)_A(20-40)_W37_Wo18_P10</t>
  </si>
  <si>
    <t xml:space="preserve"> N75_P(10-20)_S(5-10)_A(40-60)_W37_Wo18_P1</t>
  </si>
  <si>
    <t xml:space="preserve"> N75_P(10-20)_S(5-10)_A(40-60)_W37_Wo18_P2</t>
  </si>
  <si>
    <t xml:space="preserve"> N75_P(10-20)_S(5-10)_A(40-60)_W37_Wo18_P3</t>
  </si>
  <si>
    <t xml:space="preserve"> N75_P(10-20)_S(5-10)_A(40-60)_W37_Wo18_P4</t>
  </si>
  <si>
    <t xml:space="preserve"> N75_P(10-20)_S(5-10)_A(40-60)_W37_Wo18_P5</t>
  </si>
  <si>
    <t xml:space="preserve"> N75_P(10-20)_S(5-10)_A(40-60)_W37_Wo18_P6</t>
  </si>
  <si>
    <t xml:space="preserve"> N75_P(10-20)_S(5-10)_A(40-60)_W37_Wo18_P7</t>
  </si>
  <si>
    <t xml:space="preserve"> N75_P(10-20)_S(5-10)_A(40-60)_W37_Wo18_P8</t>
  </si>
  <si>
    <t xml:space="preserve"> N75_P(10-20)_S(5-10)_A(40-60)_W37_Wo18_P9</t>
  </si>
  <si>
    <t xml:space="preserve"> N75_P(10-20)_S(5-10)_A(40-60)_W37_Wo18_P10</t>
  </si>
  <si>
    <t xml:space="preserve"> N75_P(10-20)_S(10-15)_A(20-40)_W37_Wo18_P1</t>
  </si>
  <si>
    <t xml:space="preserve"> N75_P(10-20)_S(10-15)_A(20-40)_W37_Wo18_P2</t>
  </si>
  <si>
    <t xml:space="preserve"> N75_P(10-20)_S(10-15)_A(20-40)_W37_Wo18_P3</t>
  </si>
  <si>
    <t xml:space="preserve"> N75_P(10-20)_S(10-15)_A(20-40)_W37_Wo18_P4</t>
  </si>
  <si>
    <t xml:space="preserve"> N75_P(10-20)_S(10-15)_A(20-40)_W37_Wo18_P5</t>
  </si>
  <si>
    <t xml:space="preserve"> N75_P(10-20)_S(10-15)_A(20-40)_W37_Wo18_P6</t>
  </si>
  <si>
    <t xml:space="preserve"> N75_P(10-20)_S(10-15)_A(20-40)_W37_Wo18_P7</t>
  </si>
  <si>
    <t xml:space="preserve"> N75_P(10-20)_S(10-15)_A(20-40)_W37_Wo18_P8</t>
  </si>
  <si>
    <t xml:space="preserve"> N75_P(10-20)_S(10-15)_A(20-40)_W37_Wo18_P9</t>
  </si>
  <si>
    <t xml:space="preserve"> N75_P(10-20)_S(10-15)_A(20-40)_W37_Wo18_P10</t>
  </si>
  <si>
    <t xml:space="preserve"> N75_P(10-20)_S(10-15)_A(40-60)_W37_Wo18_P1</t>
  </si>
  <si>
    <t xml:space="preserve"> N75_P(10-20)_S(10-15)_A(40-60)_W37_Wo18_P2</t>
  </si>
  <si>
    <t xml:space="preserve"> N75_P(10-20)_S(10-15)_A(40-60)_W37_Wo18_P3</t>
  </si>
  <si>
    <t xml:space="preserve"> N75_P(10-20)_S(10-15)_A(40-60)_W37_Wo18_P4</t>
  </si>
  <si>
    <t xml:space="preserve"> N75_P(10-20)_S(10-15)_A(40-60)_W37_Wo18_P5</t>
  </si>
  <si>
    <t xml:space="preserve"> N75_P(10-20)_S(10-15)_A(40-60)_W37_Wo18_P6</t>
  </si>
  <si>
    <t xml:space="preserve"> N75_P(10-20)_S(10-15)_A(40-60)_W37_Wo18_P7</t>
  </si>
  <si>
    <t xml:space="preserve"> N75_P(10-20)_S(10-15)_A(40-60)_W37_Wo18_P8</t>
  </si>
  <si>
    <t xml:space="preserve"> N75_P(10-20)_S(10-15)_A(40-60)_W37_Wo18_P9</t>
  </si>
  <si>
    <t xml:space="preserve"> N75_P(10-20)_S(10-15)_A(40-60)_W37_Wo18_P10</t>
  </si>
  <si>
    <t xml:space="preserve"> N75_P(20-30)_S(5-10)_A(20-40)_W37_Wo18_P1</t>
  </si>
  <si>
    <t xml:space="preserve"> N75_P(20-30)_S(5-10)_A(20-40)_W37_Wo18_P2</t>
  </si>
  <si>
    <t xml:space="preserve"> N75_P(20-30)_S(5-10)_A(20-40)_W37_Wo18_P3</t>
  </si>
  <si>
    <t xml:space="preserve"> N75_P(20-30)_S(5-10)_A(20-40)_W37_Wo18_P4</t>
  </si>
  <si>
    <t xml:space="preserve"> N75_P(20-30)_S(5-10)_A(20-40)_W37_Wo18_P5</t>
  </si>
  <si>
    <t xml:space="preserve"> N75_P(20-30)_S(5-10)_A(20-40)_W37_Wo18_P6</t>
  </si>
  <si>
    <t xml:space="preserve"> N75_P(20-30)_S(5-10)_A(20-40)_W37_Wo18_P7</t>
  </si>
  <si>
    <t xml:space="preserve"> N75_P(20-30)_S(5-10)_A(20-40)_W37_Wo18_P8</t>
  </si>
  <si>
    <t xml:space="preserve"> N75_P(20-30)_S(5-10)_A(20-40)_W37_Wo18_P9</t>
  </si>
  <si>
    <t xml:space="preserve"> N75_P(20-30)_S(5-10)_A(20-40)_W37_Wo18_P10</t>
  </si>
  <si>
    <t xml:space="preserve"> N75_P(20-30)_S(5-10)_A(40-60)_W37_Wo18_P1</t>
  </si>
  <si>
    <t xml:space="preserve"> N75_P(20-30)_S(5-10)_A(40-60)_W37_Wo18_P2</t>
  </si>
  <si>
    <t xml:space="preserve"> N75_P(20-30)_S(5-10)_A(40-60)_W37_Wo18_P3</t>
  </si>
  <si>
    <t xml:space="preserve"> N75_P(20-30)_S(5-10)_A(40-60)_W37_Wo18_P4</t>
  </si>
  <si>
    <t xml:space="preserve"> N75_P(20-30)_S(5-10)_A(40-60)_W37_Wo18_P5</t>
  </si>
  <si>
    <t xml:space="preserve"> N75_P(20-30)_S(5-10)_A(40-60)_W37_Wo18_P6</t>
  </si>
  <si>
    <t xml:space="preserve"> N75_P(20-30)_S(5-10)_A(40-60)_W37_Wo18_P7</t>
  </si>
  <si>
    <t xml:space="preserve"> N75_P(20-30)_S(5-10)_A(40-60)_W37_Wo18_P8</t>
  </si>
  <si>
    <t xml:space="preserve"> N75_P(20-30)_S(5-10)_A(40-60)_W37_Wo18_P9</t>
  </si>
  <si>
    <t xml:space="preserve"> N75_P(20-30)_S(5-10)_A(40-60)_W37_Wo18_P10</t>
  </si>
  <si>
    <t xml:space="preserve"> N75_P(20-30)_S(10-15)_A(20-40)_W37_Wo18_P1</t>
  </si>
  <si>
    <t xml:space="preserve"> N75_P(20-30)_S(10-15)_A(20-40)_W37_Wo18_P2</t>
  </si>
  <si>
    <t xml:space="preserve"> N75_P(20-30)_S(10-15)_A(20-40)_W37_Wo18_P3</t>
  </si>
  <si>
    <t xml:space="preserve"> N75_P(20-30)_S(10-15)_A(20-40)_W37_Wo18_P4</t>
  </si>
  <si>
    <t xml:space="preserve"> N75_P(20-30)_S(10-15)_A(20-40)_W37_Wo18_P5</t>
  </si>
  <si>
    <t xml:space="preserve"> N75_P(20-30)_S(10-15)_A(20-40)_W37_Wo18_P6</t>
  </si>
  <si>
    <t xml:space="preserve"> N75_P(20-30)_S(10-15)_A(20-40)_W37_Wo18_P7</t>
  </si>
  <si>
    <t xml:space="preserve"> N75_P(20-30)_S(10-15)_A(20-40)_W37_Wo18_P8</t>
  </si>
  <si>
    <t xml:space="preserve"> N75_P(20-30)_S(10-15)_A(20-40)_W37_Wo18_P9</t>
  </si>
  <si>
    <t xml:space="preserve"> N75_P(20-30)_S(10-15)_A(20-40)_W37_Wo18_P10</t>
  </si>
  <si>
    <t xml:space="preserve"> N75_P(20-30)_S(10-15)_A(40-60)_W37_Wo18_P1</t>
  </si>
  <si>
    <t xml:space="preserve"> N75_P(20-30)_S(10-15)_A(40-60)_W37_Wo18_P2</t>
  </si>
  <si>
    <t xml:space="preserve"> N75_P(20-30)_S(10-15)_A(40-60)_W37_Wo18_P3</t>
  </si>
  <si>
    <t xml:space="preserve"> N75_P(20-30)_S(10-15)_A(40-60)_W37_Wo18_P4</t>
  </si>
  <si>
    <t xml:space="preserve"> N75_P(20-30)_S(10-15)_A(40-60)_W37_Wo18_P5</t>
  </si>
  <si>
    <t xml:space="preserve"> N75_P(20-30)_S(10-15)_A(40-60)_W37_Wo18_P6</t>
  </si>
  <si>
    <t xml:space="preserve"> N75_P(20-30)_S(10-15)_A(40-60)_W37_Wo18_P7</t>
  </si>
  <si>
    <t xml:space="preserve"> N75_P(20-30)_S(10-15)_A(40-60)_W37_Wo18_P8</t>
  </si>
  <si>
    <t xml:space="preserve"> N75_P(20-30)_S(10-15)_A(40-60)_W37_Wo18_P9</t>
  </si>
  <si>
    <t xml:space="preserve"> N75_P(20-30)_S(10-15)_A(40-60)_W37_Wo18_P10</t>
  </si>
  <si>
    <t xml:space="preserve"> N100_P(10-20)_S(5-10)_A(20-40)_W50_Wo25_P1</t>
  </si>
  <si>
    <t xml:space="preserve"> N100_P(10-20)_S(5-10)_A(20-40)_W50_Wo25_P2</t>
  </si>
  <si>
    <t xml:space="preserve"> N100_P(10-20)_S(5-10)_A(20-40)_W50_Wo25_P3</t>
  </si>
  <si>
    <t xml:space="preserve"> N100_P(10-20)_S(5-10)_A(20-40)_W50_Wo25_P4</t>
  </si>
  <si>
    <t xml:space="preserve"> N100_P(10-20)_S(5-10)_A(20-40)_W50_Wo25_P5</t>
  </si>
  <si>
    <t xml:space="preserve"> N100_P(10-20)_S(5-10)_A(20-40)_W50_Wo25_P6</t>
  </si>
  <si>
    <t xml:space="preserve"> N100_P(10-20)_S(5-10)_A(20-40)_W50_Wo25_P7</t>
  </si>
  <si>
    <t xml:space="preserve"> N100_P(10-20)_S(5-10)_A(20-40)_W50_Wo25_P8</t>
  </si>
  <si>
    <t xml:space="preserve"> N100_P(10-20)_S(5-10)_A(20-40)_W50_Wo25_P9</t>
  </si>
  <si>
    <t xml:space="preserve"> N100_P(10-20)_S(5-10)_A(20-40)_W50_Wo25_P10</t>
  </si>
  <si>
    <t xml:space="preserve"> N100_P(10-20)_S(5-10)_A(40-60)_W50_Wo25_P1</t>
  </si>
  <si>
    <t xml:space="preserve"> N100_P(10-20)_S(5-10)_A(40-60)_W50_Wo25_P2</t>
  </si>
  <si>
    <t xml:space="preserve"> N100_P(10-20)_S(5-10)_A(40-60)_W50_Wo25_P3</t>
  </si>
  <si>
    <t xml:space="preserve"> N100_P(10-20)_S(5-10)_A(40-60)_W50_Wo25_P4</t>
  </si>
  <si>
    <t xml:space="preserve"> N100_P(10-20)_S(5-10)_A(40-60)_W50_Wo25_P5</t>
  </si>
  <si>
    <t xml:space="preserve"> N100_P(10-20)_S(5-10)_A(40-60)_W50_Wo25_P6</t>
  </si>
  <si>
    <t xml:space="preserve"> N100_P(10-20)_S(5-10)_A(40-60)_W50_Wo25_P7</t>
  </si>
  <si>
    <t xml:space="preserve"> N100_P(10-20)_S(5-10)_A(40-60)_W50_Wo25_P8</t>
  </si>
  <si>
    <t xml:space="preserve"> N100_P(10-20)_S(5-10)_A(40-60)_W50_Wo25_P9</t>
  </si>
  <si>
    <t xml:space="preserve"> N100_P(10-20)_S(5-10)_A(40-60)_W50_Wo25_P10</t>
  </si>
  <si>
    <t xml:space="preserve"> N100_P(10-20)_S(10-15)_A(20-40)_W50_Wo25_P1</t>
  </si>
  <si>
    <t xml:space="preserve"> N100_P(10-20)_S(10-15)_A(20-40)_W50_Wo25_P2</t>
  </si>
  <si>
    <t xml:space="preserve"> N100_P(10-20)_S(10-15)_A(20-40)_W50_Wo25_P3</t>
  </si>
  <si>
    <t xml:space="preserve"> N100_P(10-20)_S(10-15)_A(20-40)_W50_Wo25_P4</t>
  </si>
  <si>
    <t xml:space="preserve"> N100_P(10-20)_S(10-15)_A(20-40)_W50_Wo25_P5</t>
  </si>
  <si>
    <t xml:space="preserve"> N100_P(10-20)_S(10-15)_A(20-40)_W50_Wo25_P6</t>
  </si>
  <si>
    <t xml:space="preserve"> N100_P(10-20)_S(10-15)_A(20-40)_W50_Wo25_P7</t>
  </si>
  <si>
    <t xml:space="preserve"> N100_P(10-20)_S(10-15)_A(20-40)_W50_Wo25_P8</t>
  </si>
  <si>
    <t xml:space="preserve"> N100_P(10-20)_S(10-15)_A(20-40)_W50_Wo25_P9</t>
  </si>
  <si>
    <t xml:space="preserve"> N100_P(10-20)_S(10-15)_A(20-40)_W50_Wo25_P10</t>
  </si>
  <si>
    <t xml:space="preserve"> N100_P(10-20)_S(10-15)_A(40-60)_W50_Wo25_P1</t>
  </si>
  <si>
    <t xml:space="preserve"> N100_P(10-20)_S(10-15)_A(40-60)_W50_Wo25_P2</t>
  </si>
  <si>
    <t xml:space="preserve"> N100_P(10-20)_S(10-15)_A(40-60)_W50_Wo25_P3</t>
  </si>
  <si>
    <t xml:space="preserve"> N100_P(10-20)_S(10-15)_A(40-60)_W50_Wo25_P4</t>
  </si>
  <si>
    <t xml:space="preserve"> N100_P(10-20)_S(10-15)_A(40-60)_W50_Wo25_P5</t>
  </si>
  <si>
    <t xml:space="preserve"> N100_P(10-20)_S(10-15)_A(40-60)_W50_Wo25_P6</t>
  </si>
  <si>
    <t xml:space="preserve"> N100_P(10-20)_S(10-15)_A(40-60)_W50_Wo25_P7</t>
  </si>
  <si>
    <t xml:space="preserve"> N100_P(10-20)_S(10-15)_A(40-60)_W50_Wo25_P8</t>
  </si>
  <si>
    <t xml:space="preserve"> N100_P(10-20)_S(10-15)_A(40-60)_W50_Wo25_P9</t>
  </si>
  <si>
    <t xml:space="preserve"> N100_P(10-20)_S(10-15)_A(40-60)_W50_Wo25_P10</t>
  </si>
  <si>
    <t xml:space="preserve"> N100_P(20-30)_S(5-10)_A(20-40)_W50_Wo25_P1</t>
  </si>
  <si>
    <t xml:space="preserve"> N100_P(20-30)_S(5-10)_A(20-40)_W50_Wo25_P2</t>
  </si>
  <si>
    <t xml:space="preserve"> N100_P(20-30)_S(5-10)_A(20-40)_W50_Wo25_P3</t>
  </si>
  <si>
    <t xml:space="preserve"> N100_P(20-30)_S(5-10)_A(20-40)_W50_Wo25_P4</t>
  </si>
  <si>
    <t xml:space="preserve"> N100_P(20-30)_S(5-10)_A(20-40)_W50_Wo25_P5</t>
  </si>
  <si>
    <t xml:space="preserve"> N100_P(20-30)_S(5-10)_A(20-40)_W50_Wo25_P6</t>
  </si>
  <si>
    <t xml:space="preserve"> N100_P(20-30)_S(5-10)_A(20-40)_W50_Wo25_P7</t>
  </si>
  <si>
    <t xml:space="preserve"> N100_P(20-30)_S(5-10)_A(20-40)_W50_Wo25_P8</t>
  </si>
  <si>
    <t xml:space="preserve"> N100_P(20-30)_S(5-10)_A(20-40)_W50_Wo25_P9</t>
  </si>
  <si>
    <t xml:space="preserve"> N100_P(20-30)_S(5-10)_A(20-40)_W50_Wo25_P10</t>
  </si>
  <si>
    <t xml:space="preserve"> N100_P(20-30)_S(5-10)_A(40-60)_W50_Wo25_P1</t>
  </si>
  <si>
    <t xml:space="preserve"> N100_P(20-30)_S(5-10)_A(40-60)_W50_Wo25_P2</t>
  </si>
  <si>
    <t xml:space="preserve"> N100_P(20-30)_S(5-10)_A(40-60)_W50_Wo25_P3</t>
  </si>
  <si>
    <t xml:space="preserve"> N100_P(20-30)_S(5-10)_A(40-60)_W50_Wo25_P4</t>
  </si>
  <si>
    <t xml:space="preserve"> N100_P(20-30)_S(5-10)_A(40-60)_W50_Wo25_P5</t>
  </si>
  <si>
    <t xml:space="preserve"> N100_P(20-30)_S(5-10)_A(40-60)_W50_Wo25_P6</t>
  </si>
  <si>
    <t xml:space="preserve"> N100_P(20-30)_S(5-10)_A(40-60)_W50_Wo25_P7</t>
  </si>
  <si>
    <t xml:space="preserve"> N100_P(20-30)_S(5-10)_A(40-60)_W50_Wo25_P8</t>
  </si>
  <si>
    <t xml:space="preserve"> N100_P(20-30)_S(5-10)_A(40-60)_W50_Wo25_P9</t>
  </si>
  <si>
    <t xml:space="preserve"> N100_P(20-30)_S(5-10)_A(40-60)_W50_Wo25_P10</t>
  </si>
  <si>
    <t xml:space="preserve"> N100_P(20-30)_S(10-15)_A(20-40)_W50_Wo25_P1</t>
  </si>
  <si>
    <t xml:space="preserve"> N100_P(20-30)_S(10-15)_A(20-40)_W50_Wo25_P2</t>
  </si>
  <si>
    <t xml:space="preserve"> N100_P(20-30)_S(10-15)_A(20-40)_W50_Wo25_P3</t>
  </si>
  <si>
    <t xml:space="preserve"> N100_P(20-30)_S(10-15)_A(20-40)_W50_Wo25_P4</t>
  </si>
  <si>
    <t xml:space="preserve"> N100_P(20-30)_S(10-15)_A(20-40)_W50_Wo25_P5</t>
  </si>
  <si>
    <t xml:space="preserve"> N100_P(20-30)_S(10-15)_A(20-40)_W50_Wo25_P6</t>
  </si>
  <si>
    <t xml:space="preserve"> N100_P(20-30)_S(10-15)_A(20-40)_W50_Wo25_P7</t>
  </si>
  <si>
    <t xml:space="preserve"> N100_P(20-30)_S(10-15)_A(20-40)_W50_Wo25_P8</t>
  </si>
  <si>
    <t xml:space="preserve"> N100_P(20-30)_S(10-15)_A(20-40)_W50_Wo25_P9</t>
  </si>
  <si>
    <t xml:space="preserve"> N100_P(20-30)_S(10-15)_A(20-40)_W50_Wo25_P10</t>
  </si>
  <si>
    <t xml:space="preserve"> N100_P(20-30)_S(10-15)_A(40-60)_W50_Wo25_P1</t>
  </si>
  <si>
    <t xml:space="preserve"> N100_P(20-30)_S(10-15)_A(40-60)_W50_Wo25_P2</t>
  </si>
  <si>
    <t xml:space="preserve"> N100_P(20-30)_S(10-15)_A(40-60)_W50_Wo25_P3</t>
  </si>
  <si>
    <t xml:space="preserve"> N100_P(20-30)_S(10-15)_A(40-60)_W50_Wo25_P4</t>
  </si>
  <si>
    <t xml:space="preserve"> N100_P(20-30)_S(10-15)_A(40-60)_W50_Wo25_P5</t>
  </si>
  <si>
    <t xml:space="preserve"> N100_P(20-30)_S(10-15)_A(40-60)_W50_Wo25_P6</t>
  </si>
  <si>
    <t xml:space="preserve"> N100_P(20-30)_S(10-15)_A(40-60)_W50_Wo25_P7</t>
  </si>
  <si>
    <t xml:space="preserve"> N100_P(20-30)_S(10-15)_A(40-60)_W50_Wo25_P8</t>
  </si>
  <si>
    <t xml:space="preserve"> N100_P(20-30)_S(10-15)_A(40-60)_W50_Wo25_P9</t>
  </si>
  <si>
    <t xml:space="preserve"> N100_P(20-30)_S(10-15)_A(40-60)_W50_Wo25_P10</t>
  </si>
  <si>
    <t>PT</t>
    <phoneticPr fontId="18" type="noConversion"/>
  </si>
  <si>
    <t>ST</t>
    <phoneticPr fontId="18" type="noConversion"/>
  </si>
  <si>
    <t>DT</t>
    <phoneticPr fontId="18" type="noConversion"/>
  </si>
  <si>
    <t>ID</t>
    <phoneticPr fontId="18" type="noConversion"/>
  </si>
  <si>
    <t>N</t>
    <phoneticPr fontId="18" type="noConversion"/>
  </si>
  <si>
    <t>10-20</t>
  </si>
  <si>
    <t>10-20</t>
    <phoneticPr fontId="18" type="noConversion"/>
  </si>
  <si>
    <t>10-20</t>
    <phoneticPr fontId="18" type="noConversion"/>
  </si>
  <si>
    <t>20-30</t>
  </si>
  <si>
    <t>20-30</t>
    <phoneticPr fontId="18" type="noConversion"/>
  </si>
  <si>
    <t>20-30</t>
    <phoneticPr fontId="18" type="noConversion"/>
  </si>
  <si>
    <t>5-10</t>
  </si>
  <si>
    <t>5-10</t>
    <phoneticPr fontId="18" type="noConversion"/>
  </si>
  <si>
    <t>10-15</t>
  </si>
  <si>
    <t>10-15</t>
    <phoneticPr fontId="18" type="noConversion"/>
  </si>
  <si>
    <t>20-40</t>
  </si>
  <si>
    <t>20-40</t>
    <phoneticPr fontId="18" type="noConversion"/>
  </si>
  <si>
    <t>40-60</t>
  </si>
  <si>
    <t>20-40</t>
    <phoneticPr fontId="18" type="noConversion"/>
  </si>
  <si>
    <t>40-60</t>
    <phoneticPr fontId="18" type="noConversion"/>
  </si>
  <si>
    <t>40-60</t>
    <phoneticPr fontId="18" type="noConversion"/>
  </si>
  <si>
    <t>IG_T</t>
    <phoneticPr fontId="18" type="noConversion"/>
  </si>
  <si>
    <t xml:space="preserve"> IG_B</t>
    <phoneticPr fontId="18" type="noConversion"/>
  </si>
  <si>
    <t>IG_A</t>
    <phoneticPr fontId="18" type="noConversion"/>
  </si>
  <si>
    <t>SA2_B</t>
    <phoneticPr fontId="18" type="noConversion"/>
  </si>
  <si>
    <t>SA2_A</t>
    <phoneticPr fontId="18" type="noConversion"/>
  </si>
  <si>
    <t>SA2_T</t>
    <phoneticPr fontId="18" type="noConversion"/>
  </si>
  <si>
    <t>SA2</t>
    <phoneticPr fontId="18" type="noConversion"/>
  </si>
  <si>
    <t>10-20</t>
    <phoneticPr fontId="18" type="noConversion"/>
  </si>
  <si>
    <t>20-30</t>
    <phoneticPr fontId="18" type="noConversion"/>
  </si>
  <si>
    <t>5-10</t>
    <phoneticPr fontId="18" type="noConversion"/>
  </si>
  <si>
    <t>10-15</t>
    <phoneticPr fontId="18" type="noConversion"/>
  </si>
  <si>
    <t>20-40</t>
    <phoneticPr fontId="18" type="noConversion"/>
  </si>
  <si>
    <t>40-60</t>
    <phoneticPr fontId="18" type="noConversion"/>
  </si>
  <si>
    <t>MILP_LB</t>
    <phoneticPr fontId="18" type="noConversion"/>
  </si>
  <si>
    <t>MILP_Obj</t>
    <phoneticPr fontId="18" type="noConversion"/>
  </si>
  <si>
    <t>MILP_T</t>
    <phoneticPr fontId="18" type="noConversion"/>
  </si>
  <si>
    <t>MILP</t>
    <phoneticPr fontId="18" type="noConversion"/>
  </si>
  <si>
    <t>LIG_iSol</t>
    <phoneticPr fontId="18" type="noConversion"/>
  </si>
  <si>
    <t>LIG_B</t>
    <phoneticPr fontId="18" type="noConversion"/>
  </si>
  <si>
    <t>LIG_A</t>
    <phoneticPr fontId="18" type="noConversion"/>
  </si>
  <si>
    <t>LIG_T</t>
    <phoneticPr fontId="18" type="noConversion"/>
  </si>
  <si>
    <t>LIG_R1</t>
    <phoneticPr fontId="18" type="noConversion"/>
  </si>
  <si>
    <t>LIG_R2</t>
    <phoneticPr fontId="18" type="noConversion"/>
  </si>
  <si>
    <t>LIG_R3</t>
  </si>
  <si>
    <t>LIG_R4</t>
  </si>
  <si>
    <t>LIG_R5</t>
  </si>
  <si>
    <t>Ave</t>
    <phoneticPr fontId="18" type="noConversion"/>
  </si>
  <si>
    <t>IG_GAP</t>
    <phoneticPr fontId="18" type="noConversion"/>
  </si>
  <si>
    <t>MILP_GAP</t>
    <phoneticPr fontId="18" type="noConversion"/>
  </si>
  <si>
    <t>SA2_GAP</t>
    <phoneticPr fontId="18" type="noConversion"/>
  </si>
  <si>
    <t>Mix</t>
    <phoneticPr fontId="18" type="noConversion"/>
  </si>
  <si>
    <t>10_10-20_5-10_20-40</t>
  </si>
  <si>
    <t>10_10-20_5-10_40-60</t>
  </si>
  <si>
    <t>10_10-20_10-15_20-40</t>
  </si>
  <si>
    <t>10_10-20_10-15_40-60</t>
  </si>
  <si>
    <t>10_20-30_5-10_20-40</t>
  </si>
  <si>
    <t>10_20-30_5-10_40-60</t>
  </si>
  <si>
    <t>10_20-30_10-15_20-40</t>
  </si>
  <si>
    <t>10_20-30_10-15_40-60</t>
  </si>
  <si>
    <t>15_10-20_5-10_20-40</t>
  </si>
  <si>
    <t>15_10-20_5-10_40-60</t>
  </si>
  <si>
    <t>15_10-20_10-15_20-40</t>
  </si>
  <si>
    <t>15_10-20_10-15_40-60</t>
  </si>
  <si>
    <t>15_20-30_5-10_20-40</t>
  </si>
  <si>
    <t>15_20-30_5-10_40-60</t>
  </si>
  <si>
    <t>15_20-30_10-15_20-40</t>
  </si>
  <si>
    <t>15_20-30_10-15_40-60</t>
  </si>
  <si>
    <t>ALL</t>
    <phoneticPr fontId="18" type="noConversion"/>
  </si>
  <si>
    <t>BKS</t>
    <phoneticPr fontId="18" type="noConversion"/>
  </si>
  <si>
    <t>W</t>
    <phoneticPr fontId="18" type="noConversion"/>
  </si>
  <si>
    <t>T</t>
    <phoneticPr fontId="18" type="noConversion"/>
  </si>
  <si>
    <t>L</t>
    <phoneticPr fontId="18" type="noConversion"/>
  </si>
  <si>
    <t>LIG Ave</t>
    <phoneticPr fontId="18" type="noConversion"/>
  </si>
  <si>
    <t>LIG Best</t>
    <phoneticPr fontId="18" type="noConversion"/>
  </si>
  <si>
    <t>LIG iSol</t>
    <phoneticPr fontId="18" type="noConversion"/>
  </si>
  <si>
    <t>LIG AGap</t>
    <phoneticPr fontId="18" type="noConversion"/>
  </si>
  <si>
    <t>LIG BGap</t>
    <phoneticPr fontId="18" type="noConversion"/>
  </si>
  <si>
    <t>LIG Time</t>
    <phoneticPr fontId="18" type="noConversion"/>
  </si>
  <si>
    <t>SA2 Time</t>
    <phoneticPr fontId="18" type="noConversion"/>
  </si>
  <si>
    <t>SA2 Best</t>
    <phoneticPr fontId="18" type="noConversion"/>
  </si>
  <si>
    <t>SA2 Ave</t>
    <phoneticPr fontId="18" type="noConversion"/>
  </si>
  <si>
    <t>SA2 BGap</t>
    <phoneticPr fontId="18" type="noConversion"/>
  </si>
  <si>
    <t>SA2 AGap</t>
    <phoneticPr fontId="18" type="noConversion"/>
  </si>
  <si>
    <t>LIG IGap</t>
    <phoneticPr fontId="18" type="noConversion"/>
  </si>
  <si>
    <t>LIG IGap</t>
    <phoneticPr fontId="18" type="noConversion"/>
  </si>
  <si>
    <t>All</t>
    <phoneticPr fontId="18" type="noConversion"/>
  </si>
  <si>
    <t>IG AGAP</t>
    <phoneticPr fontId="18" type="noConversion"/>
  </si>
  <si>
    <t>IG BGAP</t>
    <phoneticPr fontId="18" type="noConversion"/>
  </si>
  <si>
    <t>t 檢定：成對母體平均數差異檢定</t>
  </si>
  <si>
    <t>變數 1</t>
  </si>
  <si>
    <t>變數 2</t>
  </si>
  <si>
    <t>平均數</t>
  </si>
  <si>
    <t>變異數</t>
  </si>
  <si>
    <t>觀察值個數</t>
  </si>
  <si>
    <t>皮耳森相關係數</t>
  </si>
  <si>
    <t>假設的均數差</t>
  </si>
  <si>
    <t>自由度</t>
  </si>
  <si>
    <t>t 統計</t>
  </si>
  <si>
    <t>P(T&lt;=t) 單尾</t>
  </si>
  <si>
    <t>臨界值：單尾</t>
  </si>
  <si>
    <t>P(T&lt;=t) 雙尾</t>
  </si>
  <si>
    <t>臨界值：雙尾</t>
  </si>
  <si>
    <t>VNS Best</t>
    <phoneticPr fontId="18" type="noConversion"/>
  </si>
  <si>
    <t>VNS Ave</t>
    <phoneticPr fontId="18" type="noConversion"/>
  </si>
  <si>
    <t>VNS Time</t>
    <phoneticPr fontId="18" type="noConversion"/>
  </si>
  <si>
    <t>VNS BGap</t>
    <phoneticPr fontId="18" type="noConversion"/>
  </si>
  <si>
    <t>VNS AGap</t>
    <phoneticPr fontId="18" type="noConversion"/>
  </si>
  <si>
    <t>VNS</t>
    <phoneticPr fontId="18" type="noConversion"/>
  </si>
  <si>
    <t>LIG Best vs. VNA Best (Small)</t>
    <phoneticPr fontId="18" type="noConversion"/>
  </si>
  <si>
    <t>LIG mean vs. VNS mean (Small)</t>
    <phoneticPr fontId="18" type="noConversion"/>
  </si>
  <si>
    <t>LIG Best vs. VNS Best (Large)</t>
    <phoneticPr fontId="18" type="noConversion"/>
  </si>
  <si>
    <t>LIG Mean vs. VNS Mean (Large)</t>
    <phoneticPr fontId="18" type="noConversion"/>
  </si>
  <si>
    <t>VNS_B</t>
  </si>
  <si>
    <t>VNS_A</t>
  </si>
  <si>
    <t>VNS_T</t>
  </si>
  <si>
    <t>VNS_R1</t>
  </si>
  <si>
    <t>VNS_R2</t>
  </si>
  <si>
    <t>VNS_R3</t>
  </si>
  <si>
    <t>VNS_R4</t>
  </si>
  <si>
    <t>VNS_R5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</si>
</sst>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0.00_ "/>
    <numFmt numFmtId="177" formatCode="0.0_ "/>
    <numFmt numFmtId="178" formatCode="0.00_);[Red]\(0.00\)"/>
    <numFmt numFmtId="179" formatCode="0.000_ "/>
    <numFmt numFmtId="180" formatCode="m&quot;月&quot;d&quot;日&quot;"/>
    <numFmt numFmtId="181" formatCode="0.0_);[Red]\(0.0\)"/>
    <numFmt numFmtId="182" formatCode="0.000_);[Red]\(0.000\)"/>
    <numFmt numFmtId="183" formatCode="0.0000_ "/>
  </numFmts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1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9" fillId="34" borderId="0" xfId="0" applyFont="1" applyFill="1">
      <alignment vertical="center"/>
    </xf>
    <xf numFmtId="0" fontId="19" fillId="34" borderId="0" xfId="0" applyFont="1" applyFill="1" applyAlignment="1">
      <alignment horizontal="center" vertical="center"/>
    </xf>
    <xf numFmtId="177" fontId="19" fillId="34" borderId="0" xfId="0" applyNumberFormat="1" applyFont="1" applyFill="1" applyAlignment="1">
      <alignment horizontal="center" vertical="center"/>
    </xf>
    <xf numFmtId="0" fontId="20" fillId="34" borderId="0" xfId="0" applyFont="1" applyFill="1">
      <alignment vertical="center"/>
    </xf>
    <xf numFmtId="178" fontId="0" fillId="0" borderId="0" xfId="0" applyNumberFormat="1" applyAlignment="1">
      <alignment horizontal="center" vertical="center"/>
    </xf>
    <xf numFmtId="178" fontId="19" fillId="34" borderId="0" xfId="0" applyNumberFormat="1" applyFont="1" applyFill="1" applyAlignment="1">
      <alignment horizontal="center" vertical="center"/>
    </xf>
    <xf numFmtId="178" fontId="0" fillId="0" borderId="0" xfId="0" applyNumberFormat="1">
      <alignment vertical="center"/>
    </xf>
    <xf numFmtId="0" fontId="20" fillId="34" borderId="0" xfId="0" applyFont="1" applyFill="1" applyAlignment="1">
      <alignment horizontal="center" vertical="center"/>
    </xf>
    <xf numFmtId="0" fontId="14" fillId="33" borderId="0" xfId="0" applyFont="1" applyFill="1" applyAlignment="1">
      <alignment horizontal="center" vertical="center"/>
    </xf>
    <xf numFmtId="180" fontId="20" fillId="34" borderId="0" xfId="0" quotePrefix="1" applyNumberFormat="1" applyFont="1" applyFill="1" applyAlignment="1">
      <alignment horizontal="center" vertical="center"/>
    </xf>
    <xf numFmtId="0" fontId="20" fillId="34" borderId="0" xfId="0" quotePrefix="1" applyFon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4" fillId="34" borderId="0" xfId="0" applyFont="1" applyFill="1">
      <alignment vertical="center"/>
    </xf>
    <xf numFmtId="181" fontId="19" fillId="34" borderId="0" xfId="0" applyNumberFormat="1" applyFont="1" applyFill="1" applyAlignment="1">
      <alignment horizontal="center" vertical="center"/>
    </xf>
    <xf numFmtId="181" fontId="0" fillId="0" borderId="0" xfId="0" applyNumberFormat="1">
      <alignment vertical="center"/>
    </xf>
    <xf numFmtId="181" fontId="0" fillId="0" borderId="0" xfId="0" applyNumberFormat="1" applyAlignment="1">
      <alignment horizontal="center" vertical="center"/>
    </xf>
    <xf numFmtId="178" fontId="19" fillId="34" borderId="0" xfId="0" applyNumberFormat="1" applyFont="1" applyFill="1" applyAlignment="1">
      <alignment horizontal="right" vertical="center"/>
    </xf>
    <xf numFmtId="180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77" fontId="0" fillId="0" borderId="0" xfId="0" applyNumberFormat="1">
      <alignment vertical="center"/>
    </xf>
    <xf numFmtId="0" fontId="0" fillId="33" borderId="0" xfId="0" applyFill="1" applyAlignment="1">
      <alignment horizontal="center" vertical="center"/>
    </xf>
    <xf numFmtId="0" fontId="20" fillId="34" borderId="0" xfId="0" applyFont="1" applyFill="1" applyAlignment="1">
      <alignment horizontal="left" vertical="center"/>
    </xf>
    <xf numFmtId="0" fontId="23" fillId="34" borderId="0" xfId="0" quotePrefix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2" fillId="34" borderId="0" xfId="0" applyFont="1" applyFill="1" applyAlignment="1">
      <alignment horizontal="left" vertical="center"/>
    </xf>
    <xf numFmtId="180" fontId="0" fillId="0" borderId="0" xfId="0" quotePrefix="1" applyNumberFormat="1" applyAlignment="1">
      <alignment horizontal="left" vertical="center"/>
    </xf>
    <xf numFmtId="0" fontId="0" fillId="0" borderId="0" xfId="0" quotePrefix="1" applyAlignment="1">
      <alignment horizontal="left" vertical="center"/>
    </xf>
    <xf numFmtId="177" fontId="23" fillId="34" borderId="0" xfId="0" applyNumberFormat="1" applyFont="1" applyFill="1" applyAlignment="1">
      <alignment horizontal="center" vertical="center"/>
    </xf>
    <xf numFmtId="0" fontId="24" fillId="34" borderId="0" xfId="0" applyFont="1" applyFill="1">
      <alignment vertical="center"/>
    </xf>
    <xf numFmtId="0" fontId="22" fillId="34" borderId="0" xfId="0" applyFont="1" applyFill="1">
      <alignment vertical="center"/>
    </xf>
    <xf numFmtId="176" fontId="23" fillId="34" borderId="0" xfId="0" applyNumberFormat="1" applyFont="1" applyFill="1" applyAlignment="1">
      <alignment horizontal="center" vertical="center"/>
    </xf>
    <xf numFmtId="177" fontId="22" fillId="34" borderId="0" xfId="0" applyNumberFormat="1" applyFont="1" applyFill="1" applyAlignment="1">
      <alignment horizontal="center" vertical="center"/>
    </xf>
    <xf numFmtId="0" fontId="22" fillId="0" borderId="0" xfId="0" applyFont="1">
      <alignment vertical="center"/>
    </xf>
    <xf numFmtId="0" fontId="24" fillId="34" borderId="0" xfId="0" applyFont="1" applyFill="1" applyAlignment="1">
      <alignment horizontal="center" vertical="center"/>
    </xf>
    <xf numFmtId="180" fontId="22" fillId="0" borderId="0" xfId="0" quotePrefix="1" applyNumberFormat="1" applyFont="1" applyAlignment="1">
      <alignment horizontal="left" vertical="center"/>
    </xf>
    <xf numFmtId="0" fontId="24" fillId="33" borderId="0" xfId="0" applyFont="1" applyFill="1">
      <alignment vertical="center"/>
    </xf>
    <xf numFmtId="182" fontId="0" fillId="0" borderId="0" xfId="0" applyNumberFormat="1" applyAlignment="1">
      <alignment horizontal="center" vertical="center"/>
    </xf>
    <xf numFmtId="176" fontId="22" fillId="34" borderId="0" xfId="0" applyNumberFormat="1" applyFont="1" applyFill="1" applyAlignment="1">
      <alignment horizontal="center" vertical="center"/>
    </xf>
    <xf numFmtId="0" fontId="21" fillId="34" borderId="0" xfId="0" applyFont="1" applyFill="1">
      <alignment vertical="center"/>
    </xf>
    <xf numFmtId="177" fontId="22" fillId="0" borderId="0" xfId="0" applyNumberFormat="1" applyFont="1" applyAlignment="1">
      <alignment horizontal="center" vertical="center"/>
    </xf>
    <xf numFmtId="180" fontId="20" fillId="3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76" fontId="24" fillId="34" borderId="0" xfId="0" applyNumberFormat="1" applyFont="1" applyFill="1" applyAlignment="1">
      <alignment horizontal="center" vertical="center"/>
    </xf>
    <xf numFmtId="179" fontId="22" fillId="34" borderId="0" xfId="0" applyNumberFormat="1" applyFont="1" applyFill="1">
      <alignment vertical="center"/>
    </xf>
    <xf numFmtId="0" fontId="23" fillId="34" borderId="0" xfId="0" applyFont="1" applyFill="1">
      <alignment vertical="center"/>
    </xf>
    <xf numFmtId="182" fontId="0" fillId="0" borderId="0" xfId="0" applyNumberFormat="1">
      <alignment vertical="center"/>
    </xf>
    <xf numFmtId="0" fontId="22" fillId="0" borderId="0" xfId="0" applyFont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180" fontId="23" fillId="34" borderId="0" xfId="0" quotePrefix="1" applyNumberFormat="1" applyFont="1" applyFill="1" applyAlignment="1">
      <alignment horizontal="center" vertical="center"/>
    </xf>
    <xf numFmtId="177" fontId="24" fillId="34" borderId="0" xfId="0" applyNumberFormat="1" applyFont="1" applyFill="1" applyAlignment="1">
      <alignment horizontal="center" vertical="center"/>
    </xf>
    <xf numFmtId="0" fontId="22" fillId="0" borderId="0" xfId="0" quotePrefix="1" applyFont="1" applyAlignment="1">
      <alignment horizontal="left" vertical="center"/>
    </xf>
    <xf numFmtId="0" fontId="22" fillId="34" borderId="0" xfId="0" applyFont="1" applyFill="1" applyAlignment="1">
      <alignment vertical="center"/>
    </xf>
    <xf numFmtId="0" fontId="0" fillId="34" borderId="0" xfId="0" applyFill="1" applyAlignment="1">
      <alignment horizontal="left" vertical="center"/>
    </xf>
    <xf numFmtId="0" fontId="22" fillId="0" borderId="0" xfId="0" applyFont="1" applyAlignment="1">
      <alignment vertical="center"/>
    </xf>
    <xf numFmtId="0" fontId="22" fillId="34" borderId="0" xfId="0" applyFont="1" applyFill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177" fontId="19" fillId="34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20" fillId="34" borderId="0" xfId="0" applyFont="1" applyFill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vertical="center" wrapText="1"/>
    </xf>
    <xf numFmtId="0" fontId="20" fillId="34" borderId="10" xfId="0" applyFont="1" applyFill="1" applyBorder="1" applyAlignment="1">
      <alignment vertical="center" wrapText="1"/>
    </xf>
    <xf numFmtId="182" fontId="22" fillId="0" borderId="0" xfId="0" applyNumberFormat="1" applyFont="1" applyAlignment="1">
      <alignment horizontal="center" vertical="center"/>
    </xf>
    <xf numFmtId="177" fontId="19" fillId="34" borderId="0" xfId="0" applyNumberFormat="1" applyFont="1" applyFill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Font="1" applyFill="1" applyBorder="1" applyAlignment="1">
      <alignment horizontal="center" vertical="center"/>
    </xf>
    <xf numFmtId="183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72"/>
  <sheetViews>
    <sheetView tabSelected="1" topLeftCell="F553" zoomScale="80" zoomScaleNormal="80" workbookViewId="0">
      <selection activeCell="G250" sqref="G250:G257"/>
    </sheetView>
  </sheetViews>
  <sheetFormatPr defaultRowHeight="16.5" x14ac:dyDescent="0.6"/>
  <cols>
    <col min="1" max="1" width="8.578125" hidden="1" customWidth="1"/>
    <col min="2" max="2" width="5.7890625" style="1" customWidth="1"/>
    <col min="3" max="3" width="6.9453125" style="1" customWidth="1"/>
    <col min="4" max="4" width="5.89453125" style="1" customWidth="1"/>
    <col min="5" max="6" width="6.1015625" style="1" customWidth="1"/>
    <col min="7" max="7" width="2" style="1" customWidth="1"/>
    <col min="8" max="8" width="6.68359375" style="1" customWidth="1"/>
    <col min="9" max="9" width="7.68359375" style="1" customWidth="1"/>
    <col min="10" max="10" width="7.47265625" style="1" customWidth="1"/>
    <col min="11" max="16" width="7.9453125" style="2" customWidth="1"/>
    <col min="17" max="17" width="1.89453125" customWidth="1"/>
    <col min="18" max="18" width="1.47265625" style="9" customWidth="1"/>
    <col min="19" max="19" width="7.20703125" customWidth="1"/>
    <col min="20" max="20" width="7.7890625" customWidth="1"/>
    <col min="21" max="21" width="7.47265625" style="17" customWidth="1"/>
  </cols>
  <sheetData>
    <row r="1" spans="1:26" x14ac:dyDescent="0.6">
      <c r="A1" s="6" t="s">
        <v>0</v>
      </c>
      <c r="B1" s="14" t="s">
        <v>969</v>
      </c>
      <c r="C1" s="14" t="s">
        <v>965</v>
      </c>
      <c r="D1" s="14" t="s">
        <v>966</v>
      </c>
      <c r="E1" s="14" t="s">
        <v>967</v>
      </c>
      <c r="F1" s="14" t="s">
        <v>968</v>
      </c>
      <c r="H1" s="10" t="s">
        <v>1003</v>
      </c>
      <c r="I1" s="4" t="s">
        <v>1004</v>
      </c>
      <c r="J1" s="4" t="s">
        <v>1005</v>
      </c>
      <c r="K1" s="5" t="s">
        <v>1006</v>
      </c>
      <c r="L1" s="5" t="s">
        <v>1007</v>
      </c>
      <c r="M1" s="5" t="s">
        <v>1008</v>
      </c>
      <c r="N1" s="5" t="s">
        <v>1009</v>
      </c>
      <c r="O1" s="5" t="s">
        <v>1010</v>
      </c>
      <c r="P1" s="5" t="s">
        <v>1011</v>
      </c>
      <c r="Q1" s="4"/>
      <c r="R1" s="8"/>
      <c r="S1" s="4" t="s">
        <v>1078</v>
      </c>
      <c r="T1" s="4" t="s">
        <v>1079</v>
      </c>
      <c r="U1" s="16" t="s">
        <v>1080</v>
      </c>
      <c r="V1" s="16" t="s">
        <v>1081</v>
      </c>
      <c r="W1" s="16" t="s">
        <v>1082</v>
      </c>
      <c r="X1" s="16" t="s">
        <v>1083</v>
      </c>
      <c r="Y1" s="16" t="s">
        <v>1084</v>
      </c>
      <c r="Z1" s="16" t="s">
        <v>1085</v>
      </c>
    </row>
    <row r="2" spans="1:26" x14ac:dyDescent="0.6">
      <c r="A2" s="6" t="s">
        <v>405</v>
      </c>
      <c r="B2" s="10" t="str">
        <f>MID(A2,3,2)</f>
        <v>10</v>
      </c>
      <c r="C2" s="12" t="s">
        <v>971</v>
      </c>
      <c r="D2" s="13" t="s">
        <v>977</v>
      </c>
      <c r="E2" s="13" t="s">
        <v>981</v>
      </c>
      <c r="F2" s="10">
        <v>1</v>
      </c>
      <c r="G2" s="10"/>
      <c r="H2" s="1">
        <v>274</v>
      </c>
      <c r="I2" s="1">
        <v>193</v>
      </c>
      <c r="J2" s="1">
        <v>193</v>
      </c>
      <c r="K2" s="2">
        <v>1.01</v>
      </c>
      <c r="L2">
        <v>193</v>
      </c>
      <c r="M2">
        <v>193</v>
      </c>
      <c r="N2">
        <v>193</v>
      </c>
      <c r="O2">
        <v>193</v>
      </c>
      <c r="P2">
        <v>193</v>
      </c>
      <c r="S2">
        <v>193</v>
      </c>
      <c r="T2">
        <v>193.6</v>
      </c>
      <c r="U2" s="17">
        <v>3.4443041600000002</v>
      </c>
      <c r="V2" s="60">
        <v>193</v>
      </c>
      <c r="W2" s="60">
        <v>193</v>
      </c>
      <c r="X2" s="60">
        <v>193</v>
      </c>
      <c r="Y2" s="60">
        <v>193</v>
      </c>
      <c r="Z2" s="60">
        <v>193</v>
      </c>
    </row>
    <row r="3" spans="1:26" x14ac:dyDescent="0.6">
      <c r="A3" s="6" t="s">
        <v>406</v>
      </c>
      <c r="B3" s="10">
        <v>10</v>
      </c>
      <c r="C3" s="12" t="s">
        <v>972</v>
      </c>
      <c r="D3" s="13" t="s">
        <v>977</v>
      </c>
      <c r="E3" s="13" t="s">
        <v>983</v>
      </c>
      <c r="F3" s="10">
        <v>2</v>
      </c>
      <c r="G3" s="10"/>
      <c r="H3" s="1">
        <v>258</v>
      </c>
      <c r="I3" s="1">
        <v>188</v>
      </c>
      <c r="J3" s="1">
        <v>188</v>
      </c>
      <c r="K3" s="2">
        <v>1</v>
      </c>
      <c r="L3">
        <v>188</v>
      </c>
      <c r="M3">
        <v>188</v>
      </c>
      <c r="N3">
        <v>188</v>
      </c>
      <c r="O3">
        <v>188</v>
      </c>
      <c r="P3">
        <v>188</v>
      </c>
      <c r="S3">
        <v>188</v>
      </c>
      <c r="T3">
        <v>190</v>
      </c>
      <c r="U3" s="17">
        <v>3.4558971999999999</v>
      </c>
      <c r="V3" s="60">
        <v>188</v>
      </c>
      <c r="W3" s="60">
        <v>188</v>
      </c>
      <c r="X3" s="60">
        <v>188</v>
      </c>
      <c r="Y3" s="60">
        <v>188</v>
      </c>
      <c r="Z3" s="60">
        <v>188</v>
      </c>
    </row>
    <row r="4" spans="1:26" x14ac:dyDescent="0.6">
      <c r="A4" s="6" t="s">
        <v>407</v>
      </c>
      <c r="B4" s="10">
        <v>10</v>
      </c>
      <c r="C4" s="12" t="s">
        <v>970</v>
      </c>
      <c r="D4" s="13" t="s">
        <v>976</v>
      </c>
      <c r="E4" s="13" t="s">
        <v>980</v>
      </c>
      <c r="F4" s="10">
        <v>3</v>
      </c>
      <c r="G4" s="10"/>
      <c r="H4" s="1">
        <v>275</v>
      </c>
      <c r="I4" s="1">
        <v>190</v>
      </c>
      <c r="J4" s="1">
        <v>190</v>
      </c>
      <c r="K4" s="2">
        <v>1</v>
      </c>
      <c r="L4">
        <v>190</v>
      </c>
      <c r="M4">
        <v>190</v>
      </c>
      <c r="N4">
        <v>190</v>
      </c>
      <c r="O4">
        <v>190</v>
      </c>
      <c r="P4">
        <v>190</v>
      </c>
      <c r="S4">
        <v>190</v>
      </c>
      <c r="T4">
        <v>191.4</v>
      </c>
      <c r="U4" s="17">
        <v>3.3329339999999998</v>
      </c>
      <c r="V4" s="60">
        <v>191</v>
      </c>
      <c r="W4" s="60">
        <v>190</v>
      </c>
      <c r="X4" s="60">
        <v>191</v>
      </c>
      <c r="Y4" s="60">
        <v>191</v>
      </c>
      <c r="Z4" s="60">
        <v>190</v>
      </c>
    </row>
    <row r="5" spans="1:26" x14ac:dyDescent="0.6">
      <c r="A5" s="6" t="s">
        <v>408</v>
      </c>
      <c r="B5" s="10">
        <v>10</v>
      </c>
      <c r="C5" s="12" t="s">
        <v>970</v>
      </c>
      <c r="D5" s="13" t="s">
        <v>976</v>
      </c>
      <c r="E5" s="13" t="s">
        <v>980</v>
      </c>
      <c r="F5" s="10">
        <v>4</v>
      </c>
      <c r="G5" s="10"/>
      <c r="H5" s="1">
        <v>256</v>
      </c>
      <c r="I5" s="1">
        <v>196</v>
      </c>
      <c r="J5" s="1">
        <v>196</v>
      </c>
      <c r="K5" s="2">
        <v>1</v>
      </c>
      <c r="L5">
        <v>196</v>
      </c>
      <c r="M5">
        <v>196</v>
      </c>
      <c r="N5">
        <v>196</v>
      </c>
      <c r="O5">
        <v>196</v>
      </c>
      <c r="P5">
        <v>196</v>
      </c>
      <c r="S5">
        <v>196</v>
      </c>
      <c r="T5">
        <v>196</v>
      </c>
      <c r="U5" s="17">
        <v>3.3089968600000002</v>
      </c>
      <c r="V5" s="60">
        <v>196</v>
      </c>
      <c r="W5" s="60">
        <v>196</v>
      </c>
      <c r="X5" s="60">
        <v>196</v>
      </c>
      <c r="Y5" s="60">
        <v>196</v>
      </c>
      <c r="Z5" s="60">
        <v>196</v>
      </c>
    </row>
    <row r="6" spans="1:26" x14ac:dyDescent="0.6">
      <c r="A6" s="6" t="s">
        <v>409</v>
      </c>
      <c r="B6" s="10">
        <v>10</v>
      </c>
      <c r="C6" s="12" t="s">
        <v>970</v>
      </c>
      <c r="D6" s="13" t="s">
        <v>976</v>
      </c>
      <c r="E6" s="13" t="s">
        <v>980</v>
      </c>
      <c r="F6" s="10">
        <v>5</v>
      </c>
      <c r="G6" s="10"/>
      <c r="H6" s="1">
        <v>265</v>
      </c>
      <c r="I6" s="1">
        <v>201</v>
      </c>
      <c r="J6" s="1">
        <v>201</v>
      </c>
      <c r="K6" s="2">
        <v>1</v>
      </c>
      <c r="L6">
        <v>201</v>
      </c>
      <c r="M6">
        <v>201</v>
      </c>
      <c r="N6">
        <v>201</v>
      </c>
      <c r="O6">
        <v>201</v>
      </c>
      <c r="P6">
        <v>201</v>
      </c>
      <c r="S6">
        <v>201</v>
      </c>
      <c r="T6">
        <v>201</v>
      </c>
      <c r="U6" s="17">
        <v>3.7100511599999999</v>
      </c>
      <c r="V6" s="60">
        <v>213</v>
      </c>
      <c r="W6" s="60">
        <v>213</v>
      </c>
      <c r="X6" s="60">
        <v>213</v>
      </c>
      <c r="Y6" s="60">
        <v>213</v>
      </c>
      <c r="Z6" s="60">
        <v>213</v>
      </c>
    </row>
    <row r="7" spans="1:26" x14ac:dyDescent="0.6">
      <c r="A7" s="6" t="s">
        <v>410</v>
      </c>
      <c r="B7" s="10">
        <v>10</v>
      </c>
      <c r="C7" s="12" t="s">
        <v>970</v>
      </c>
      <c r="D7" s="13" t="s">
        <v>976</v>
      </c>
      <c r="E7" s="13" t="s">
        <v>980</v>
      </c>
      <c r="F7" s="10">
        <v>6</v>
      </c>
      <c r="G7" s="10"/>
      <c r="H7" s="1">
        <v>288</v>
      </c>
      <c r="I7" s="1">
        <v>223</v>
      </c>
      <c r="J7" s="1">
        <v>223</v>
      </c>
      <c r="K7" s="2">
        <v>1</v>
      </c>
      <c r="L7">
        <v>223</v>
      </c>
      <c r="M7">
        <v>223</v>
      </c>
      <c r="N7">
        <v>223</v>
      </c>
      <c r="O7">
        <v>223</v>
      </c>
      <c r="P7">
        <v>223</v>
      </c>
      <c r="S7">
        <v>223</v>
      </c>
      <c r="T7">
        <v>223</v>
      </c>
      <c r="U7" s="17">
        <v>3.7003084799999999</v>
      </c>
      <c r="V7" s="60">
        <v>223</v>
      </c>
      <c r="W7" s="60">
        <v>223</v>
      </c>
      <c r="X7" s="60">
        <v>223</v>
      </c>
      <c r="Y7" s="60">
        <v>223</v>
      </c>
      <c r="Z7" s="60">
        <v>223</v>
      </c>
    </row>
    <row r="8" spans="1:26" x14ac:dyDescent="0.6">
      <c r="A8" s="6" t="s">
        <v>411</v>
      </c>
      <c r="B8" s="10">
        <v>10</v>
      </c>
      <c r="C8" s="12" t="s">
        <v>970</v>
      </c>
      <c r="D8" s="13" t="s">
        <v>976</v>
      </c>
      <c r="E8" s="13" t="s">
        <v>980</v>
      </c>
      <c r="F8" s="10">
        <v>7</v>
      </c>
      <c r="G8" s="10"/>
      <c r="H8" s="1">
        <v>204</v>
      </c>
      <c r="I8" s="1">
        <v>198</v>
      </c>
      <c r="J8" s="1">
        <v>198</v>
      </c>
      <c r="K8" s="2">
        <v>1</v>
      </c>
      <c r="L8">
        <v>198</v>
      </c>
      <c r="M8">
        <v>198</v>
      </c>
      <c r="N8">
        <v>198</v>
      </c>
      <c r="O8">
        <v>198</v>
      </c>
      <c r="P8">
        <v>198</v>
      </c>
      <c r="S8">
        <v>200</v>
      </c>
      <c r="T8">
        <v>201.8</v>
      </c>
      <c r="U8" s="17">
        <v>3.26267504</v>
      </c>
      <c r="V8" s="60">
        <v>198</v>
      </c>
      <c r="W8" s="60">
        <v>198</v>
      </c>
      <c r="X8" s="60">
        <v>198</v>
      </c>
      <c r="Y8" s="60">
        <v>198</v>
      </c>
      <c r="Z8" s="60">
        <v>198</v>
      </c>
    </row>
    <row r="9" spans="1:26" x14ac:dyDescent="0.6">
      <c r="A9" s="6" t="s">
        <v>412</v>
      </c>
      <c r="B9" s="10">
        <v>10</v>
      </c>
      <c r="C9" s="12" t="s">
        <v>970</v>
      </c>
      <c r="D9" s="13" t="s">
        <v>976</v>
      </c>
      <c r="E9" s="13" t="s">
        <v>980</v>
      </c>
      <c r="F9" s="10">
        <v>8</v>
      </c>
      <c r="G9" s="10"/>
      <c r="H9" s="1">
        <v>249</v>
      </c>
      <c r="I9" s="1">
        <v>195</v>
      </c>
      <c r="J9" s="1">
        <v>195</v>
      </c>
      <c r="K9" s="2">
        <v>1</v>
      </c>
      <c r="L9">
        <v>195</v>
      </c>
      <c r="M9">
        <v>195</v>
      </c>
      <c r="N9">
        <v>195</v>
      </c>
      <c r="O9">
        <v>195</v>
      </c>
      <c r="P9">
        <v>195</v>
      </c>
      <c r="S9">
        <v>195</v>
      </c>
      <c r="T9">
        <v>195.6</v>
      </c>
      <c r="U9" s="17">
        <v>3.4838775399999999</v>
      </c>
      <c r="V9" s="60">
        <v>195</v>
      </c>
      <c r="W9" s="60">
        <v>195</v>
      </c>
      <c r="X9" s="60">
        <v>195</v>
      </c>
      <c r="Y9" s="60">
        <v>195</v>
      </c>
      <c r="Z9" s="60">
        <v>195</v>
      </c>
    </row>
    <row r="10" spans="1:26" x14ac:dyDescent="0.6">
      <c r="A10" s="6" t="s">
        <v>413</v>
      </c>
      <c r="B10" s="10">
        <v>10</v>
      </c>
      <c r="C10" s="12" t="s">
        <v>970</v>
      </c>
      <c r="D10" s="13" t="s">
        <v>976</v>
      </c>
      <c r="E10" s="13" t="s">
        <v>980</v>
      </c>
      <c r="F10" s="10">
        <v>9</v>
      </c>
      <c r="G10" s="10"/>
      <c r="H10" s="1">
        <v>239</v>
      </c>
      <c r="I10" s="1">
        <v>190</v>
      </c>
      <c r="J10" s="1">
        <v>190</v>
      </c>
      <c r="K10" s="2">
        <v>1</v>
      </c>
      <c r="L10">
        <v>190</v>
      </c>
      <c r="M10">
        <v>190</v>
      </c>
      <c r="N10">
        <v>190</v>
      </c>
      <c r="O10">
        <v>190</v>
      </c>
      <c r="P10">
        <v>190</v>
      </c>
      <c r="S10">
        <v>190</v>
      </c>
      <c r="T10">
        <v>192</v>
      </c>
      <c r="U10" s="17">
        <v>3.2821713400000001</v>
      </c>
      <c r="V10" s="60">
        <v>191</v>
      </c>
      <c r="W10" s="60">
        <v>190</v>
      </c>
      <c r="X10" s="60">
        <v>192</v>
      </c>
      <c r="Y10" s="60">
        <v>190</v>
      </c>
      <c r="Z10" s="60">
        <v>190</v>
      </c>
    </row>
    <row r="11" spans="1:26" x14ac:dyDescent="0.6">
      <c r="A11" s="6" t="s">
        <v>414</v>
      </c>
      <c r="B11" s="10">
        <v>10</v>
      </c>
      <c r="C11" s="12" t="s">
        <v>970</v>
      </c>
      <c r="D11" s="13" t="s">
        <v>976</v>
      </c>
      <c r="E11" s="13" t="s">
        <v>980</v>
      </c>
      <c r="F11" s="10">
        <v>10</v>
      </c>
      <c r="G11" s="10"/>
      <c r="H11" s="1">
        <v>284</v>
      </c>
      <c r="I11" s="1">
        <v>209</v>
      </c>
      <c r="J11" s="1">
        <v>209</v>
      </c>
      <c r="K11" s="2">
        <v>1.01</v>
      </c>
      <c r="L11">
        <v>209</v>
      </c>
      <c r="M11">
        <v>209</v>
      </c>
      <c r="N11">
        <v>209</v>
      </c>
      <c r="O11">
        <v>209</v>
      </c>
      <c r="P11">
        <v>209</v>
      </c>
      <c r="S11">
        <v>210</v>
      </c>
      <c r="T11">
        <v>210.6</v>
      </c>
      <c r="U11" s="17">
        <v>3.6597539800000001</v>
      </c>
      <c r="V11" s="60">
        <v>209</v>
      </c>
      <c r="W11" s="60">
        <v>210</v>
      </c>
      <c r="X11" s="60">
        <v>209</v>
      </c>
      <c r="Y11" s="60">
        <v>210</v>
      </c>
      <c r="Z11" s="60">
        <v>210</v>
      </c>
    </row>
    <row r="12" spans="1:26" x14ac:dyDescent="0.6">
      <c r="A12" s="6" t="s">
        <v>415</v>
      </c>
      <c r="B12" s="10">
        <v>10</v>
      </c>
      <c r="C12" s="12" t="s">
        <v>970</v>
      </c>
      <c r="D12" s="13" t="s">
        <v>976</v>
      </c>
      <c r="E12" s="13" t="s">
        <v>984</v>
      </c>
      <c r="F12" s="10">
        <v>1</v>
      </c>
      <c r="G12" s="10"/>
      <c r="H12" s="1">
        <v>334</v>
      </c>
      <c r="I12" s="1">
        <v>193</v>
      </c>
      <c r="J12" s="1">
        <v>193</v>
      </c>
      <c r="K12" s="2">
        <v>1.01</v>
      </c>
      <c r="L12">
        <v>193</v>
      </c>
      <c r="M12">
        <v>193</v>
      </c>
      <c r="N12">
        <v>193</v>
      </c>
      <c r="O12">
        <v>193</v>
      </c>
      <c r="P12">
        <v>193</v>
      </c>
      <c r="S12">
        <v>194</v>
      </c>
      <c r="T12">
        <v>195.4</v>
      </c>
      <c r="U12" s="17">
        <v>3.3688740199999998</v>
      </c>
      <c r="V12" s="60">
        <v>194</v>
      </c>
      <c r="W12" s="60">
        <v>194</v>
      </c>
      <c r="X12" s="60">
        <v>194</v>
      </c>
      <c r="Y12" s="60">
        <v>194</v>
      </c>
      <c r="Z12" s="60">
        <v>194</v>
      </c>
    </row>
    <row r="13" spans="1:26" x14ac:dyDescent="0.6">
      <c r="A13" s="6" t="s">
        <v>416</v>
      </c>
      <c r="B13" s="10">
        <v>10</v>
      </c>
      <c r="C13" s="12" t="s">
        <v>970</v>
      </c>
      <c r="D13" s="13" t="s">
        <v>976</v>
      </c>
      <c r="E13" s="13" t="s">
        <v>985</v>
      </c>
      <c r="F13" s="10">
        <v>2</v>
      </c>
      <c r="G13" s="10"/>
      <c r="H13" s="1">
        <v>318</v>
      </c>
      <c r="I13" s="1">
        <v>192</v>
      </c>
      <c r="J13" s="1">
        <v>192</v>
      </c>
      <c r="K13" s="2">
        <v>1.01</v>
      </c>
      <c r="L13">
        <v>192</v>
      </c>
      <c r="M13">
        <v>192</v>
      </c>
      <c r="N13">
        <v>192</v>
      </c>
      <c r="O13">
        <v>192</v>
      </c>
      <c r="P13">
        <v>192</v>
      </c>
      <c r="S13">
        <v>192</v>
      </c>
      <c r="T13">
        <v>193.4</v>
      </c>
      <c r="U13" s="17">
        <v>3.3903634600000001</v>
      </c>
      <c r="V13" s="60">
        <v>193</v>
      </c>
      <c r="W13" s="60">
        <v>192</v>
      </c>
      <c r="X13" s="60">
        <v>193</v>
      </c>
      <c r="Y13" s="60">
        <v>193</v>
      </c>
      <c r="Z13" s="60">
        <v>192</v>
      </c>
    </row>
    <row r="14" spans="1:26" x14ac:dyDescent="0.6">
      <c r="A14" s="6" t="s">
        <v>417</v>
      </c>
      <c r="B14" s="10">
        <v>10</v>
      </c>
      <c r="C14" s="12" t="s">
        <v>970</v>
      </c>
      <c r="D14" s="13" t="s">
        <v>976</v>
      </c>
      <c r="E14" s="13" t="s">
        <v>982</v>
      </c>
      <c r="F14" s="10">
        <v>3</v>
      </c>
      <c r="G14" s="10"/>
      <c r="H14" s="1">
        <v>335</v>
      </c>
      <c r="I14" s="1">
        <v>190</v>
      </c>
      <c r="J14" s="1">
        <v>190</v>
      </c>
      <c r="K14" s="2">
        <v>1.01</v>
      </c>
      <c r="L14">
        <v>190</v>
      </c>
      <c r="M14">
        <v>190</v>
      </c>
      <c r="N14">
        <v>190</v>
      </c>
      <c r="O14">
        <v>190</v>
      </c>
      <c r="P14">
        <v>190</v>
      </c>
      <c r="S14">
        <v>190</v>
      </c>
      <c r="T14">
        <v>192</v>
      </c>
      <c r="U14" s="17">
        <v>3.33215766</v>
      </c>
      <c r="V14" s="60">
        <v>191</v>
      </c>
      <c r="W14" s="60">
        <v>191</v>
      </c>
      <c r="X14" s="60">
        <v>192</v>
      </c>
      <c r="Y14" s="60">
        <v>191</v>
      </c>
      <c r="Z14" s="60">
        <v>190</v>
      </c>
    </row>
    <row r="15" spans="1:26" x14ac:dyDescent="0.6">
      <c r="A15" s="6" t="s">
        <v>418</v>
      </c>
      <c r="B15" s="10">
        <v>10</v>
      </c>
      <c r="C15" s="12" t="s">
        <v>970</v>
      </c>
      <c r="D15" s="13" t="s">
        <v>976</v>
      </c>
      <c r="E15" s="13" t="s">
        <v>982</v>
      </c>
      <c r="F15" s="10">
        <v>4</v>
      </c>
      <c r="G15" s="10"/>
      <c r="H15" s="1">
        <v>296</v>
      </c>
      <c r="I15" s="1">
        <v>197</v>
      </c>
      <c r="J15" s="1">
        <v>197</v>
      </c>
      <c r="K15" s="2">
        <v>1.01</v>
      </c>
      <c r="L15">
        <v>197</v>
      </c>
      <c r="M15">
        <v>197</v>
      </c>
      <c r="N15">
        <v>197</v>
      </c>
      <c r="O15">
        <v>197</v>
      </c>
      <c r="P15">
        <v>197</v>
      </c>
      <c r="S15">
        <v>199</v>
      </c>
      <c r="T15">
        <v>201.6</v>
      </c>
      <c r="U15" s="17">
        <v>3.46375068</v>
      </c>
      <c r="V15" s="60">
        <v>197</v>
      </c>
      <c r="W15" s="60">
        <v>197</v>
      </c>
      <c r="X15" s="60">
        <v>197</v>
      </c>
      <c r="Y15" s="60">
        <v>197</v>
      </c>
      <c r="Z15" s="60">
        <v>197</v>
      </c>
    </row>
    <row r="16" spans="1:26" x14ac:dyDescent="0.6">
      <c r="A16" s="6" t="s">
        <v>419</v>
      </c>
      <c r="B16" s="10">
        <v>10</v>
      </c>
      <c r="C16" s="12" t="s">
        <v>970</v>
      </c>
      <c r="D16" s="13" t="s">
        <v>976</v>
      </c>
      <c r="E16" s="13" t="s">
        <v>982</v>
      </c>
      <c r="F16" s="10">
        <v>5</v>
      </c>
      <c r="G16" s="10"/>
      <c r="H16" s="1">
        <v>325</v>
      </c>
      <c r="I16" s="1">
        <v>254</v>
      </c>
      <c r="J16" s="1">
        <v>254</v>
      </c>
      <c r="K16" s="2">
        <v>1.01</v>
      </c>
      <c r="L16">
        <v>254</v>
      </c>
      <c r="M16">
        <v>254</v>
      </c>
      <c r="N16">
        <v>254</v>
      </c>
      <c r="O16">
        <v>254</v>
      </c>
      <c r="P16">
        <v>254</v>
      </c>
      <c r="S16">
        <v>254</v>
      </c>
      <c r="T16">
        <v>254</v>
      </c>
      <c r="U16" s="17">
        <v>3.84746502</v>
      </c>
      <c r="V16" s="60">
        <v>254</v>
      </c>
      <c r="W16" s="60">
        <v>254</v>
      </c>
      <c r="X16" s="60">
        <v>254</v>
      </c>
      <c r="Y16" s="60">
        <v>254</v>
      </c>
      <c r="Z16" s="60">
        <v>254</v>
      </c>
    </row>
    <row r="17" spans="1:26" x14ac:dyDescent="0.6">
      <c r="A17" s="6" t="s">
        <v>420</v>
      </c>
      <c r="B17" s="10">
        <v>10</v>
      </c>
      <c r="C17" s="12" t="s">
        <v>970</v>
      </c>
      <c r="D17" s="13" t="s">
        <v>976</v>
      </c>
      <c r="E17" s="13" t="s">
        <v>982</v>
      </c>
      <c r="F17" s="10">
        <v>6</v>
      </c>
      <c r="G17" s="10"/>
      <c r="H17" s="1">
        <v>348</v>
      </c>
      <c r="I17" s="1">
        <v>267</v>
      </c>
      <c r="J17" s="1">
        <v>267</v>
      </c>
      <c r="K17" s="2">
        <v>1.01</v>
      </c>
      <c r="L17">
        <v>267</v>
      </c>
      <c r="M17">
        <v>267</v>
      </c>
      <c r="N17">
        <v>267</v>
      </c>
      <c r="O17">
        <v>267</v>
      </c>
      <c r="P17">
        <v>267</v>
      </c>
      <c r="S17">
        <v>267</v>
      </c>
      <c r="T17">
        <v>267</v>
      </c>
      <c r="U17" s="17">
        <v>3.59440574</v>
      </c>
      <c r="V17" s="60">
        <v>267</v>
      </c>
      <c r="W17" s="60">
        <v>267</v>
      </c>
      <c r="X17" s="60">
        <v>267</v>
      </c>
      <c r="Y17" s="60">
        <v>267</v>
      </c>
      <c r="Z17" s="60">
        <v>267</v>
      </c>
    </row>
    <row r="18" spans="1:26" x14ac:dyDescent="0.6">
      <c r="A18" s="6" t="s">
        <v>421</v>
      </c>
      <c r="B18" s="10">
        <v>10</v>
      </c>
      <c r="C18" s="12" t="s">
        <v>970</v>
      </c>
      <c r="D18" s="13" t="s">
        <v>976</v>
      </c>
      <c r="E18" s="13" t="s">
        <v>982</v>
      </c>
      <c r="F18" s="10">
        <v>7</v>
      </c>
      <c r="G18" s="10"/>
      <c r="H18" s="1">
        <v>204</v>
      </c>
      <c r="I18" s="1">
        <v>202</v>
      </c>
      <c r="J18" s="1">
        <v>202</v>
      </c>
      <c r="K18" s="2">
        <v>1.01</v>
      </c>
      <c r="L18">
        <v>202</v>
      </c>
      <c r="M18">
        <v>202</v>
      </c>
      <c r="N18">
        <v>202</v>
      </c>
      <c r="O18">
        <v>202</v>
      </c>
      <c r="P18">
        <v>202</v>
      </c>
      <c r="S18">
        <v>202</v>
      </c>
      <c r="T18">
        <v>202.6</v>
      </c>
      <c r="U18" s="17">
        <v>3.2813683</v>
      </c>
      <c r="V18" s="60">
        <v>202</v>
      </c>
      <c r="W18" s="60">
        <v>202</v>
      </c>
      <c r="X18" s="60">
        <v>202</v>
      </c>
      <c r="Y18" s="60">
        <v>202</v>
      </c>
      <c r="Z18" s="60">
        <v>202</v>
      </c>
    </row>
    <row r="19" spans="1:26" x14ac:dyDescent="0.6">
      <c r="A19" s="6" t="s">
        <v>422</v>
      </c>
      <c r="B19" s="10">
        <v>10</v>
      </c>
      <c r="C19" s="12" t="s">
        <v>970</v>
      </c>
      <c r="D19" s="13" t="s">
        <v>976</v>
      </c>
      <c r="E19" s="13" t="s">
        <v>982</v>
      </c>
      <c r="F19" s="10">
        <v>8</v>
      </c>
      <c r="G19" s="10"/>
      <c r="H19" s="1">
        <v>289</v>
      </c>
      <c r="I19" s="1">
        <v>195</v>
      </c>
      <c r="J19" s="1">
        <v>195</v>
      </c>
      <c r="K19" s="2">
        <v>1.01</v>
      </c>
      <c r="L19">
        <v>195</v>
      </c>
      <c r="M19">
        <v>195</v>
      </c>
      <c r="N19">
        <v>195</v>
      </c>
      <c r="O19">
        <v>195</v>
      </c>
      <c r="P19">
        <v>195</v>
      </c>
      <c r="S19">
        <v>195</v>
      </c>
      <c r="T19">
        <v>196.6</v>
      </c>
      <c r="U19" s="17">
        <v>3.3153017199999999</v>
      </c>
      <c r="V19" s="60">
        <v>195</v>
      </c>
      <c r="W19" s="60">
        <v>195</v>
      </c>
      <c r="X19" s="60">
        <v>195</v>
      </c>
      <c r="Y19" s="60">
        <v>195</v>
      </c>
      <c r="Z19" s="60">
        <v>195</v>
      </c>
    </row>
    <row r="20" spans="1:26" x14ac:dyDescent="0.6">
      <c r="A20" s="6" t="s">
        <v>423</v>
      </c>
      <c r="B20" s="10">
        <v>10</v>
      </c>
      <c r="C20" s="12" t="s">
        <v>970</v>
      </c>
      <c r="D20" s="13" t="s">
        <v>976</v>
      </c>
      <c r="E20" s="13" t="s">
        <v>982</v>
      </c>
      <c r="F20" s="10">
        <v>9</v>
      </c>
      <c r="G20" s="10"/>
      <c r="H20" s="1">
        <v>279</v>
      </c>
      <c r="I20" s="1">
        <v>192</v>
      </c>
      <c r="J20" s="1">
        <v>192</v>
      </c>
      <c r="K20" s="2">
        <v>1.01</v>
      </c>
      <c r="L20">
        <v>192</v>
      </c>
      <c r="M20">
        <v>192</v>
      </c>
      <c r="N20">
        <v>192</v>
      </c>
      <c r="O20">
        <v>192</v>
      </c>
      <c r="P20">
        <v>192</v>
      </c>
      <c r="S20">
        <v>192</v>
      </c>
      <c r="T20">
        <v>193</v>
      </c>
      <c r="U20" s="17">
        <v>3.2560916400000002</v>
      </c>
      <c r="V20" s="60">
        <v>193</v>
      </c>
      <c r="W20" s="60">
        <v>192</v>
      </c>
      <c r="X20" s="60">
        <v>193</v>
      </c>
      <c r="Y20" s="60">
        <v>193</v>
      </c>
      <c r="Z20" s="60">
        <v>193</v>
      </c>
    </row>
    <row r="21" spans="1:26" x14ac:dyDescent="0.6">
      <c r="A21" s="6" t="s">
        <v>424</v>
      </c>
      <c r="B21" s="10">
        <v>10</v>
      </c>
      <c r="C21" s="12" t="s">
        <v>970</v>
      </c>
      <c r="D21" s="13" t="s">
        <v>976</v>
      </c>
      <c r="E21" s="13" t="s">
        <v>982</v>
      </c>
      <c r="F21" s="10">
        <v>10</v>
      </c>
      <c r="G21" s="10"/>
      <c r="H21" s="1">
        <v>344</v>
      </c>
      <c r="I21" s="1">
        <v>211</v>
      </c>
      <c r="J21" s="1">
        <v>211</v>
      </c>
      <c r="K21" s="2">
        <v>1.01</v>
      </c>
      <c r="L21">
        <v>211</v>
      </c>
      <c r="M21">
        <v>211</v>
      </c>
      <c r="N21">
        <v>211</v>
      </c>
      <c r="O21">
        <v>211</v>
      </c>
      <c r="P21">
        <v>211</v>
      </c>
      <c r="S21">
        <v>211</v>
      </c>
      <c r="T21">
        <v>212.4</v>
      </c>
      <c r="U21" s="17">
        <v>3.6100155599999999</v>
      </c>
      <c r="V21" s="60">
        <v>211</v>
      </c>
      <c r="W21" s="60">
        <v>211</v>
      </c>
      <c r="X21" s="60">
        <v>211</v>
      </c>
      <c r="Y21" s="60">
        <v>211</v>
      </c>
      <c r="Z21" s="60">
        <v>211</v>
      </c>
    </row>
    <row r="22" spans="1:26" x14ac:dyDescent="0.6">
      <c r="A22" s="6" t="s">
        <v>425</v>
      </c>
      <c r="B22" s="10">
        <v>10</v>
      </c>
      <c r="C22" s="12" t="s">
        <v>970</v>
      </c>
      <c r="D22" s="13" t="s">
        <v>979</v>
      </c>
      <c r="E22" s="13" t="s">
        <v>981</v>
      </c>
      <c r="F22" s="10">
        <v>1</v>
      </c>
      <c r="G22" s="10"/>
      <c r="H22" s="1">
        <v>304</v>
      </c>
      <c r="I22" s="1">
        <v>236</v>
      </c>
      <c r="J22" s="1">
        <v>236</v>
      </c>
      <c r="K22" s="2">
        <v>1.01</v>
      </c>
      <c r="L22">
        <v>236</v>
      </c>
      <c r="M22">
        <v>236</v>
      </c>
      <c r="N22">
        <v>236</v>
      </c>
      <c r="O22">
        <v>236</v>
      </c>
      <c r="P22">
        <v>236</v>
      </c>
      <c r="S22">
        <v>236</v>
      </c>
      <c r="T22">
        <v>236.6</v>
      </c>
      <c r="U22" s="17">
        <v>3.4419794000000001</v>
      </c>
      <c r="V22" s="60">
        <v>237</v>
      </c>
      <c r="W22" s="60">
        <v>236</v>
      </c>
      <c r="X22" s="60">
        <v>236</v>
      </c>
      <c r="Y22" s="60">
        <v>236</v>
      </c>
      <c r="Z22" s="60">
        <v>236</v>
      </c>
    </row>
    <row r="23" spans="1:26" x14ac:dyDescent="0.6">
      <c r="A23" s="6" t="s">
        <v>426</v>
      </c>
      <c r="B23" s="10">
        <v>10</v>
      </c>
      <c r="C23" s="12" t="s">
        <v>970</v>
      </c>
      <c r="D23" s="13" t="s">
        <v>979</v>
      </c>
      <c r="E23" s="13" t="s">
        <v>983</v>
      </c>
      <c r="F23" s="10">
        <v>2</v>
      </c>
      <c r="G23" s="10"/>
      <c r="H23" s="1">
        <v>288</v>
      </c>
      <c r="I23" s="1">
        <v>231</v>
      </c>
      <c r="J23" s="1">
        <v>231</v>
      </c>
      <c r="K23" s="2">
        <v>1.01</v>
      </c>
      <c r="L23">
        <v>231</v>
      </c>
      <c r="M23">
        <v>231</v>
      </c>
      <c r="N23">
        <v>231</v>
      </c>
      <c r="O23">
        <v>231</v>
      </c>
      <c r="P23">
        <v>231</v>
      </c>
      <c r="S23">
        <v>231</v>
      </c>
      <c r="T23">
        <v>231</v>
      </c>
      <c r="U23" s="17">
        <v>3.5496479000000001</v>
      </c>
      <c r="V23" s="60">
        <v>231</v>
      </c>
      <c r="W23" s="60">
        <v>231</v>
      </c>
      <c r="X23" s="60">
        <v>231</v>
      </c>
      <c r="Y23" s="60">
        <v>231</v>
      </c>
      <c r="Z23" s="60">
        <v>231</v>
      </c>
    </row>
    <row r="24" spans="1:26" x14ac:dyDescent="0.6">
      <c r="A24" s="6" t="s">
        <v>427</v>
      </c>
      <c r="B24" s="10">
        <v>10</v>
      </c>
      <c r="C24" s="12" t="s">
        <v>970</v>
      </c>
      <c r="D24" s="13" t="s">
        <v>978</v>
      </c>
      <c r="E24" s="13" t="s">
        <v>980</v>
      </c>
      <c r="F24" s="10">
        <v>3</v>
      </c>
      <c r="G24" s="10"/>
      <c r="H24" s="1">
        <v>305</v>
      </c>
      <c r="I24" s="1">
        <v>235</v>
      </c>
      <c r="J24" s="1">
        <v>235</v>
      </c>
      <c r="K24" s="2">
        <v>1.01</v>
      </c>
      <c r="L24">
        <v>235</v>
      </c>
      <c r="M24">
        <v>235</v>
      </c>
      <c r="N24">
        <v>235</v>
      </c>
      <c r="O24">
        <v>235</v>
      </c>
      <c r="P24">
        <v>235</v>
      </c>
      <c r="S24">
        <v>235</v>
      </c>
      <c r="T24">
        <v>235</v>
      </c>
      <c r="U24" s="17">
        <v>3.27744568</v>
      </c>
      <c r="V24" s="60">
        <v>236</v>
      </c>
      <c r="W24" s="60">
        <v>235</v>
      </c>
      <c r="X24" s="60">
        <v>236</v>
      </c>
      <c r="Y24" s="60">
        <v>236</v>
      </c>
      <c r="Z24" s="60">
        <v>236</v>
      </c>
    </row>
    <row r="25" spans="1:26" x14ac:dyDescent="0.6">
      <c r="A25" s="6" t="s">
        <v>428</v>
      </c>
      <c r="B25" s="10">
        <v>10</v>
      </c>
      <c r="C25" s="12" t="s">
        <v>970</v>
      </c>
      <c r="D25" s="13" t="s">
        <v>978</v>
      </c>
      <c r="E25" s="13" t="s">
        <v>980</v>
      </c>
      <c r="F25" s="10">
        <v>4</v>
      </c>
      <c r="G25" s="10"/>
      <c r="H25" s="1">
        <v>291</v>
      </c>
      <c r="I25" s="1">
        <v>241</v>
      </c>
      <c r="J25" s="1">
        <v>241</v>
      </c>
      <c r="K25" s="2">
        <v>1.01</v>
      </c>
      <c r="L25">
        <v>241</v>
      </c>
      <c r="M25">
        <v>241</v>
      </c>
      <c r="N25">
        <v>241</v>
      </c>
      <c r="O25">
        <v>241</v>
      </c>
      <c r="P25">
        <v>241</v>
      </c>
      <c r="S25">
        <v>241</v>
      </c>
      <c r="T25">
        <v>241.2</v>
      </c>
      <c r="U25" s="17">
        <v>3.3673819200000001</v>
      </c>
      <c r="V25" s="60">
        <v>241</v>
      </c>
      <c r="W25" s="60">
        <v>241</v>
      </c>
      <c r="X25" s="60">
        <v>241</v>
      </c>
      <c r="Y25" s="60">
        <v>241</v>
      </c>
      <c r="Z25" s="60">
        <v>241</v>
      </c>
    </row>
    <row r="26" spans="1:26" x14ac:dyDescent="0.6">
      <c r="A26" s="6" t="s">
        <v>429</v>
      </c>
      <c r="B26" s="10">
        <v>10</v>
      </c>
      <c r="C26" s="12" t="s">
        <v>970</v>
      </c>
      <c r="D26" s="13" t="s">
        <v>978</v>
      </c>
      <c r="E26" s="13" t="s">
        <v>980</v>
      </c>
      <c r="F26" s="10">
        <v>5</v>
      </c>
      <c r="G26" s="10"/>
      <c r="H26" s="1">
        <v>295</v>
      </c>
      <c r="I26" s="1">
        <v>246</v>
      </c>
      <c r="J26" s="1">
        <v>246</v>
      </c>
      <c r="K26" s="2">
        <v>1.01</v>
      </c>
      <c r="L26">
        <v>246</v>
      </c>
      <c r="M26">
        <v>246</v>
      </c>
      <c r="N26">
        <v>246</v>
      </c>
      <c r="O26">
        <v>246</v>
      </c>
      <c r="P26">
        <v>246</v>
      </c>
      <c r="S26">
        <v>246</v>
      </c>
      <c r="T26">
        <v>247.8</v>
      </c>
      <c r="U26" s="17">
        <v>3.9064596200000001</v>
      </c>
      <c r="V26" s="60">
        <v>250</v>
      </c>
      <c r="W26" s="60">
        <v>252</v>
      </c>
      <c r="X26" s="60">
        <v>251</v>
      </c>
      <c r="Y26" s="60">
        <v>250</v>
      </c>
      <c r="Z26" s="60">
        <v>250</v>
      </c>
    </row>
    <row r="27" spans="1:26" x14ac:dyDescent="0.6">
      <c r="A27" s="6" t="s">
        <v>430</v>
      </c>
      <c r="B27" s="10">
        <v>10</v>
      </c>
      <c r="C27" s="12" t="s">
        <v>970</v>
      </c>
      <c r="D27" s="13" t="s">
        <v>978</v>
      </c>
      <c r="E27" s="13" t="s">
        <v>980</v>
      </c>
      <c r="F27" s="10">
        <v>6</v>
      </c>
      <c r="G27" s="10"/>
      <c r="H27" s="1">
        <v>318</v>
      </c>
      <c r="I27" s="1">
        <v>264</v>
      </c>
      <c r="J27" s="1">
        <v>264</v>
      </c>
      <c r="K27" s="2">
        <v>1.01</v>
      </c>
      <c r="L27">
        <v>264</v>
      </c>
      <c r="M27">
        <v>264</v>
      </c>
      <c r="N27">
        <v>264</v>
      </c>
      <c r="O27">
        <v>264</v>
      </c>
      <c r="P27">
        <v>264</v>
      </c>
      <c r="S27">
        <v>264</v>
      </c>
      <c r="T27">
        <v>264</v>
      </c>
      <c r="U27" s="17">
        <v>3.69335616</v>
      </c>
      <c r="V27" s="60">
        <v>266</v>
      </c>
      <c r="W27" s="60">
        <v>266</v>
      </c>
      <c r="X27" s="60">
        <v>266</v>
      </c>
      <c r="Y27" s="60">
        <v>266</v>
      </c>
      <c r="Z27" s="60">
        <v>266</v>
      </c>
    </row>
    <row r="28" spans="1:26" x14ac:dyDescent="0.6">
      <c r="A28" s="6" t="s">
        <v>431</v>
      </c>
      <c r="B28" s="10">
        <v>10</v>
      </c>
      <c r="C28" s="12" t="s">
        <v>970</v>
      </c>
      <c r="D28" s="13" t="s">
        <v>978</v>
      </c>
      <c r="E28" s="13" t="s">
        <v>980</v>
      </c>
      <c r="F28" s="10">
        <v>7</v>
      </c>
      <c r="G28" s="10"/>
      <c r="H28" s="1">
        <v>249</v>
      </c>
      <c r="I28" s="1">
        <v>243</v>
      </c>
      <c r="J28" s="1">
        <v>243</v>
      </c>
      <c r="K28" s="2">
        <v>1.01</v>
      </c>
      <c r="L28">
        <v>243</v>
      </c>
      <c r="M28">
        <v>243</v>
      </c>
      <c r="N28">
        <v>243</v>
      </c>
      <c r="O28">
        <v>243</v>
      </c>
      <c r="P28">
        <v>243</v>
      </c>
      <c r="S28">
        <v>243</v>
      </c>
      <c r="T28">
        <v>244.6</v>
      </c>
      <c r="U28" s="17">
        <v>3.0990491599999999</v>
      </c>
      <c r="V28" s="60">
        <v>243</v>
      </c>
      <c r="W28" s="60">
        <v>243</v>
      </c>
      <c r="X28" s="60">
        <v>243</v>
      </c>
      <c r="Y28" s="60">
        <v>243</v>
      </c>
      <c r="Z28" s="60">
        <v>243</v>
      </c>
    </row>
    <row r="29" spans="1:26" x14ac:dyDescent="0.6">
      <c r="A29" s="6" t="s">
        <v>432</v>
      </c>
      <c r="B29" s="10">
        <v>10</v>
      </c>
      <c r="C29" s="12" t="s">
        <v>970</v>
      </c>
      <c r="D29" s="13" t="s">
        <v>978</v>
      </c>
      <c r="E29" s="13" t="s">
        <v>980</v>
      </c>
      <c r="F29" s="10">
        <v>8</v>
      </c>
      <c r="G29" s="10"/>
      <c r="H29" s="1">
        <v>284</v>
      </c>
      <c r="I29" s="1">
        <v>240</v>
      </c>
      <c r="J29" s="1">
        <v>240</v>
      </c>
      <c r="K29" s="2">
        <v>1</v>
      </c>
      <c r="L29">
        <v>240</v>
      </c>
      <c r="M29">
        <v>240</v>
      </c>
      <c r="N29">
        <v>240</v>
      </c>
      <c r="O29">
        <v>240</v>
      </c>
      <c r="P29">
        <v>240</v>
      </c>
      <c r="S29">
        <v>240</v>
      </c>
      <c r="T29">
        <v>240.8</v>
      </c>
      <c r="U29" s="17">
        <v>3.2894922200000001</v>
      </c>
      <c r="V29" s="60">
        <v>240</v>
      </c>
      <c r="W29" s="60">
        <v>240</v>
      </c>
      <c r="X29" s="60">
        <v>240</v>
      </c>
      <c r="Y29" s="60">
        <v>240</v>
      </c>
      <c r="Z29" s="60">
        <v>240</v>
      </c>
    </row>
    <row r="30" spans="1:26" x14ac:dyDescent="0.6">
      <c r="A30" s="6" t="s">
        <v>433</v>
      </c>
      <c r="B30" s="10">
        <v>10</v>
      </c>
      <c r="C30" s="12" t="s">
        <v>970</v>
      </c>
      <c r="D30" s="13" t="s">
        <v>978</v>
      </c>
      <c r="E30" s="13" t="s">
        <v>980</v>
      </c>
      <c r="F30" s="10">
        <v>9</v>
      </c>
      <c r="G30" s="10"/>
      <c r="H30" s="1">
        <v>274</v>
      </c>
      <c r="I30" s="1">
        <v>235</v>
      </c>
      <c r="J30" s="1">
        <v>235</v>
      </c>
      <c r="K30" s="2">
        <v>1.01</v>
      </c>
      <c r="L30">
        <v>235</v>
      </c>
      <c r="M30">
        <v>235</v>
      </c>
      <c r="N30">
        <v>235</v>
      </c>
      <c r="O30">
        <v>235</v>
      </c>
      <c r="P30">
        <v>235</v>
      </c>
      <c r="S30">
        <v>235</v>
      </c>
      <c r="T30">
        <v>236.2</v>
      </c>
      <c r="U30" s="17">
        <v>3.3618586600000002</v>
      </c>
      <c r="V30" s="60">
        <v>235</v>
      </c>
      <c r="W30" s="60">
        <v>235</v>
      </c>
      <c r="X30" s="60">
        <v>235</v>
      </c>
      <c r="Y30" s="60">
        <v>235</v>
      </c>
      <c r="Z30" s="60">
        <v>235</v>
      </c>
    </row>
    <row r="31" spans="1:26" x14ac:dyDescent="0.6">
      <c r="A31" s="6" t="s">
        <v>434</v>
      </c>
      <c r="B31" s="10">
        <v>10</v>
      </c>
      <c r="C31" s="12" t="s">
        <v>970</v>
      </c>
      <c r="D31" s="13" t="s">
        <v>978</v>
      </c>
      <c r="E31" s="13" t="s">
        <v>980</v>
      </c>
      <c r="F31" s="10">
        <v>10</v>
      </c>
      <c r="G31" s="10"/>
      <c r="H31" s="1">
        <v>314</v>
      </c>
      <c r="I31" s="1">
        <v>252</v>
      </c>
      <c r="J31" s="1">
        <v>252</v>
      </c>
      <c r="K31" s="2">
        <v>1.01</v>
      </c>
      <c r="L31">
        <v>252</v>
      </c>
      <c r="M31">
        <v>252</v>
      </c>
      <c r="N31">
        <v>252</v>
      </c>
      <c r="O31">
        <v>252</v>
      </c>
      <c r="P31">
        <v>252</v>
      </c>
      <c r="S31">
        <v>253</v>
      </c>
      <c r="T31">
        <v>254.2</v>
      </c>
      <c r="U31" s="17">
        <v>3.5636217600000002</v>
      </c>
      <c r="V31" s="60">
        <v>252</v>
      </c>
      <c r="W31" s="60">
        <v>252</v>
      </c>
      <c r="X31" s="60">
        <v>252</v>
      </c>
      <c r="Y31" s="60">
        <v>252</v>
      </c>
      <c r="Z31" s="60">
        <v>252</v>
      </c>
    </row>
    <row r="32" spans="1:26" x14ac:dyDescent="0.6">
      <c r="A32" s="6" t="s">
        <v>435</v>
      </c>
      <c r="B32" s="10">
        <v>10</v>
      </c>
      <c r="C32" s="12" t="s">
        <v>970</v>
      </c>
      <c r="D32" s="13" t="s">
        <v>978</v>
      </c>
      <c r="E32" s="13" t="s">
        <v>984</v>
      </c>
      <c r="F32" s="10">
        <v>1</v>
      </c>
      <c r="G32" s="10"/>
      <c r="H32" s="1">
        <v>364</v>
      </c>
      <c r="I32" s="1">
        <v>238</v>
      </c>
      <c r="J32" s="1">
        <v>238</v>
      </c>
      <c r="K32" s="2">
        <v>1</v>
      </c>
      <c r="L32">
        <v>238</v>
      </c>
      <c r="M32">
        <v>238</v>
      </c>
      <c r="N32">
        <v>238</v>
      </c>
      <c r="O32">
        <v>238</v>
      </c>
      <c r="P32">
        <v>238</v>
      </c>
      <c r="S32">
        <v>238</v>
      </c>
      <c r="T32">
        <v>238.6</v>
      </c>
      <c r="U32" s="17">
        <v>3.3653616999999998</v>
      </c>
      <c r="V32" s="60">
        <v>238</v>
      </c>
      <c r="W32" s="60">
        <v>238</v>
      </c>
      <c r="X32" s="60">
        <v>239</v>
      </c>
      <c r="Y32" s="60">
        <v>238</v>
      </c>
      <c r="Z32" s="60">
        <v>238</v>
      </c>
    </row>
    <row r="33" spans="1:26" x14ac:dyDescent="0.6">
      <c r="A33" s="6" t="s">
        <v>436</v>
      </c>
      <c r="B33" s="10">
        <v>10</v>
      </c>
      <c r="C33" s="12" t="s">
        <v>970</v>
      </c>
      <c r="D33" s="13" t="s">
        <v>978</v>
      </c>
      <c r="E33" s="13" t="s">
        <v>985</v>
      </c>
      <c r="F33" s="10">
        <v>2</v>
      </c>
      <c r="G33" s="10"/>
      <c r="H33" s="1">
        <v>348</v>
      </c>
      <c r="I33" s="1">
        <v>235</v>
      </c>
      <c r="J33" s="1">
        <v>235</v>
      </c>
      <c r="K33" s="2">
        <v>1.01</v>
      </c>
      <c r="L33">
        <v>235</v>
      </c>
      <c r="M33">
        <v>235</v>
      </c>
      <c r="N33">
        <v>235</v>
      </c>
      <c r="O33">
        <v>235</v>
      </c>
      <c r="P33">
        <v>235</v>
      </c>
      <c r="S33">
        <v>235</v>
      </c>
      <c r="T33">
        <v>236.6</v>
      </c>
      <c r="U33" s="17">
        <v>3.4667180000000002</v>
      </c>
      <c r="V33" s="60">
        <v>237</v>
      </c>
      <c r="W33" s="60">
        <v>237</v>
      </c>
      <c r="X33" s="60">
        <v>237</v>
      </c>
      <c r="Y33" s="60">
        <v>236</v>
      </c>
      <c r="Z33" s="60">
        <v>236</v>
      </c>
    </row>
    <row r="34" spans="1:26" x14ac:dyDescent="0.6">
      <c r="A34" s="6" t="s">
        <v>437</v>
      </c>
      <c r="B34" s="10">
        <v>10</v>
      </c>
      <c r="C34" s="12" t="s">
        <v>970</v>
      </c>
      <c r="D34" s="13" t="s">
        <v>978</v>
      </c>
      <c r="E34" s="13" t="s">
        <v>982</v>
      </c>
      <c r="F34" s="10">
        <v>3</v>
      </c>
      <c r="G34" s="10"/>
      <c r="H34" s="1">
        <v>365</v>
      </c>
      <c r="I34" s="1">
        <v>235</v>
      </c>
      <c r="J34" s="1">
        <v>235</v>
      </c>
      <c r="K34" s="2">
        <v>1.01</v>
      </c>
      <c r="L34">
        <v>235</v>
      </c>
      <c r="M34">
        <v>235</v>
      </c>
      <c r="N34">
        <v>235</v>
      </c>
      <c r="O34">
        <v>235</v>
      </c>
      <c r="P34">
        <v>235</v>
      </c>
      <c r="S34">
        <v>235</v>
      </c>
      <c r="T34">
        <v>236.2</v>
      </c>
      <c r="U34" s="17">
        <v>3.2343153999999998</v>
      </c>
      <c r="V34" s="60">
        <v>236</v>
      </c>
      <c r="W34" s="60">
        <v>236</v>
      </c>
      <c r="X34" s="60">
        <v>236</v>
      </c>
      <c r="Y34" s="60">
        <v>235</v>
      </c>
      <c r="Z34" s="60">
        <v>236</v>
      </c>
    </row>
    <row r="35" spans="1:26" x14ac:dyDescent="0.6">
      <c r="A35" s="6" t="s">
        <v>438</v>
      </c>
      <c r="B35" s="10">
        <v>10</v>
      </c>
      <c r="C35" s="12" t="s">
        <v>970</v>
      </c>
      <c r="D35" s="13" t="s">
        <v>978</v>
      </c>
      <c r="E35" s="13" t="s">
        <v>982</v>
      </c>
      <c r="F35" s="10">
        <v>4</v>
      </c>
      <c r="G35" s="10"/>
      <c r="H35" s="1">
        <v>331</v>
      </c>
      <c r="I35" s="1">
        <v>241</v>
      </c>
      <c r="J35" s="1">
        <v>241</v>
      </c>
      <c r="K35" s="2">
        <v>1.01</v>
      </c>
      <c r="L35">
        <v>241</v>
      </c>
      <c r="M35">
        <v>241</v>
      </c>
      <c r="N35">
        <v>241</v>
      </c>
      <c r="O35">
        <v>241</v>
      </c>
      <c r="P35">
        <v>241</v>
      </c>
      <c r="S35">
        <v>241</v>
      </c>
      <c r="T35">
        <v>243.2</v>
      </c>
      <c r="U35" s="17">
        <v>3.3949633399999999</v>
      </c>
      <c r="V35" s="60">
        <v>241</v>
      </c>
      <c r="W35" s="60">
        <v>241</v>
      </c>
      <c r="X35" s="60">
        <v>241</v>
      </c>
      <c r="Y35" s="60">
        <v>241</v>
      </c>
      <c r="Z35" s="60">
        <v>241</v>
      </c>
    </row>
    <row r="36" spans="1:26" x14ac:dyDescent="0.6">
      <c r="A36" s="6" t="s">
        <v>439</v>
      </c>
      <c r="B36" s="10">
        <v>10</v>
      </c>
      <c r="C36" s="12" t="s">
        <v>970</v>
      </c>
      <c r="D36" s="13" t="s">
        <v>978</v>
      </c>
      <c r="E36" s="13" t="s">
        <v>982</v>
      </c>
      <c r="F36" s="10">
        <v>5</v>
      </c>
      <c r="G36" s="10"/>
      <c r="H36" s="1">
        <v>355</v>
      </c>
      <c r="I36" s="1">
        <v>264</v>
      </c>
      <c r="J36" s="1">
        <v>264</v>
      </c>
      <c r="K36" s="2">
        <v>1.01</v>
      </c>
      <c r="L36">
        <v>264</v>
      </c>
      <c r="M36">
        <v>264</v>
      </c>
      <c r="N36">
        <v>264</v>
      </c>
      <c r="O36">
        <v>264</v>
      </c>
      <c r="P36">
        <v>264</v>
      </c>
      <c r="S36">
        <v>264</v>
      </c>
      <c r="T36">
        <v>264</v>
      </c>
      <c r="U36" s="17">
        <v>3.8849425000000002</v>
      </c>
      <c r="V36" s="60">
        <v>277</v>
      </c>
      <c r="W36" s="60">
        <v>277</v>
      </c>
      <c r="X36" s="60">
        <v>277</v>
      </c>
      <c r="Y36" s="60">
        <v>277</v>
      </c>
      <c r="Z36" s="60">
        <v>277</v>
      </c>
    </row>
    <row r="37" spans="1:26" x14ac:dyDescent="0.6">
      <c r="A37" s="6" t="s">
        <v>440</v>
      </c>
      <c r="B37" s="10">
        <v>10</v>
      </c>
      <c r="C37" s="12" t="s">
        <v>970</v>
      </c>
      <c r="D37" s="13" t="s">
        <v>978</v>
      </c>
      <c r="E37" s="13" t="s">
        <v>982</v>
      </c>
      <c r="F37" s="10">
        <v>6</v>
      </c>
      <c r="G37" s="10"/>
      <c r="H37" s="1">
        <v>378</v>
      </c>
      <c r="I37" s="1">
        <v>281</v>
      </c>
      <c r="J37" s="1">
        <v>281</v>
      </c>
      <c r="K37" s="2">
        <v>1.01</v>
      </c>
      <c r="L37">
        <v>281</v>
      </c>
      <c r="M37">
        <v>281</v>
      </c>
      <c r="N37">
        <v>281</v>
      </c>
      <c r="O37">
        <v>281</v>
      </c>
      <c r="P37">
        <v>281</v>
      </c>
      <c r="S37">
        <v>281</v>
      </c>
      <c r="T37">
        <v>281</v>
      </c>
      <c r="U37" s="17">
        <v>3.6923449399999999</v>
      </c>
      <c r="V37" s="60">
        <v>281</v>
      </c>
      <c r="W37" s="60">
        <v>281</v>
      </c>
      <c r="X37" s="60">
        <v>281</v>
      </c>
      <c r="Y37" s="60">
        <v>281</v>
      </c>
      <c r="Z37" s="60">
        <v>281</v>
      </c>
    </row>
    <row r="38" spans="1:26" x14ac:dyDescent="0.6">
      <c r="A38" s="6" t="s">
        <v>441</v>
      </c>
      <c r="B38" s="10">
        <v>10</v>
      </c>
      <c r="C38" s="12" t="s">
        <v>970</v>
      </c>
      <c r="D38" s="13" t="s">
        <v>978</v>
      </c>
      <c r="E38" s="13" t="s">
        <v>982</v>
      </c>
      <c r="F38" s="10">
        <v>7</v>
      </c>
      <c r="G38" s="10"/>
      <c r="H38" s="1">
        <v>249</v>
      </c>
      <c r="I38" s="1">
        <v>243</v>
      </c>
      <c r="J38" s="1">
        <v>243</v>
      </c>
      <c r="K38" s="2">
        <v>1.01</v>
      </c>
      <c r="L38">
        <v>243</v>
      </c>
      <c r="M38">
        <v>243</v>
      </c>
      <c r="N38">
        <v>243</v>
      </c>
      <c r="O38">
        <v>243</v>
      </c>
      <c r="P38">
        <v>243</v>
      </c>
      <c r="S38">
        <v>243</v>
      </c>
      <c r="T38">
        <v>245.6</v>
      </c>
      <c r="U38" s="17">
        <v>3.2191343400000001</v>
      </c>
      <c r="V38" s="60">
        <v>243</v>
      </c>
      <c r="W38" s="60">
        <v>243</v>
      </c>
      <c r="X38" s="60">
        <v>243</v>
      </c>
      <c r="Y38" s="60">
        <v>243</v>
      </c>
      <c r="Z38" s="60">
        <v>243</v>
      </c>
    </row>
    <row r="39" spans="1:26" x14ac:dyDescent="0.6">
      <c r="A39" s="6" t="s">
        <v>442</v>
      </c>
      <c r="B39" s="10">
        <v>10</v>
      </c>
      <c r="C39" s="12" t="s">
        <v>970</v>
      </c>
      <c r="D39" s="13" t="s">
        <v>978</v>
      </c>
      <c r="E39" s="13" t="s">
        <v>982</v>
      </c>
      <c r="F39" s="10">
        <v>8</v>
      </c>
      <c r="G39" s="10"/>
      <c r="H39" s="1">
        <v>324</v>
      </c>
      <c r="I39" s="1">
        <v>240</v>
      </c>
      <c r="J39" s="1">
        <v>240</v>
      </c>
      <c r="K39" s="2">
        <v>1.01</v>
      </c>
      <c r="L39">
        <v>240</v>
      </c>
      <c r="M39">
        <v>240</v>
      </c>
      <c r="N39">
        <v>240</v>
      </c>
      <c r="O39">
        <v>240</v>
      </c>
      <c r="P39">
        <v>240</v>
      </c>
      <c r="S39">
        <v>240</v>
      </c>
      <c r="T39">
        <v>241</v>
      </c>
      <c r="U39" s="17">
        <v>3.25561992</v>
      </c>
      <c r="V39" s="60">
        <v>240</v>
      </c>
      <c r="W39" s="60">
        <v>240</v>
      </c>
      <c r="X39" s="60">
        <v>240</v>
      </c>
      <c r="Y39" s="60">
        <v>240</v>
      </c>
      <c r="Z39" s="60">
        <v>240</v>
      </c>
    </row>
    <row r="40" spans="1:26" x14ac:dyDescent="0.6">
      <c r="A40" s="6" t="s">
        <v>443</v>
      </c>
      <c r="B40" s="10">
        <v>10</v>
      </c>
      <c r="C40" s="12" t="s">
        <v>970</v>
      </c>
      <c r="D40" s="13" t="s">
        <v>978</v>
      </c>
      <c r="E40" s="13" t="s">
        <v>982</v>
      </c>
      <c r="F40" s="10">
        <v>9</v>
      </c>
      <c r="G40" s="10"/>
      <c r="H40" s="1">
        <v>314</v>
      </c>
      <c r="I40" s="1">
        <v>235</v>
      </c>
      <c r="J40" s="1">
        <v>235</v>
      </c>
      <c r="K40" s="2">
        <v>1.01</v>
      </c>
      <c r="L40">
        <v>235</v>
      </c>
      <c r="M40">
        <v>235</v>
      </c>
      <c r="N40">
        <v>235</v>
      </c>
      <c r="O40">
        <v>235</v>
      </c>
      <c r="P40">
        <v>235</v>
      </c>
      <c r="S40">
        <v>235</v>
      </c>
      <c r="T40">
        <v>236.8</v>
      </c>
      <c r="U40" s="17">
        <v>3.3080494200000001</v>
      </c>
      <c r="V40" s="60">
        <v>236</v>
      </c>
      <c r="W40" s="60">
        <v>235</v>
      </c>
      <c r="X40" s="60">
        <v>237</v>
      </c>
      <c r="Y40" s="60">
        <v>235</v>
      </c>
      <c r="Z40" s="60">
        <v>235</v>
      </c>
    </row>
    <row r="41" spans="1:26" x14ac:dyDescent="0.6">
      <c r="A41" s="6" t="s">
        <v>444</v>
      </c>
      <c r="B41" s="10">
        <v>10</v>
      </c>
      <c r="C41" s="12" t="s">
        <v>970</v>
      </c>
      <c r="D41" s="13" t="s">
        <v>978</v>
      </c>
      <c r="E41" s="13" t="s">
        <v>982</v>
      </c>
      <c r="F41" s="10">
        <v>10</v>
      </c>
      <c r="G41" s="10"/>
      <c r="H41" s="1">
        <v>374</v>
      </c>
      <c r="I41" s="1">
        <v>255</v>
      </c>
      <c r="J41" s="1">
        <v>255</v>
      </c>
      <c r="K41" s="2">
        <v>1.01</v>
      </c>
      <c r="L41">
        <v>255</v>
      </c>
      <c r="M41">
        <v>255</v>
      </c>
      <c r="N41">
        <v>255</v>
      </c>
      <c r="O41">
        <v>255</v>
      </c>
      <c r="P41">
        <v>255</v>
      </c>
      <c r="S41">
        <v>255</v>
      </c>
      <c r="T41">
        <v>256.2</v>
      </c>
      <c r="U41" s="17">
        <v>3.49829788</v>
      </c>
      <c r="V41" s="60">
        <v>256</v>
      </c>
      <c r="W41" s="60">
        <v>256</v>
      </c>
      <c r="X41" s="60">
        <v>256</v>
      </c>
      <c r="Y41" s="60">
        <v>256</v>
      </c>
      <c r="Z41" s="60">
        <v>256</v>
      </c>
    </row>
    <row r="42" spans="1:26" x14ac:dyDescent="0.6">
      <c r="A42" s="6" t="s">
        <v>445</v>
      </c>
      <c r="B42" s="10">
        <v>10</v>
      </c>
      <c r="C42" s="13" t="s">
        <v>974</v>
      </c>
      <c r="D42" s="13" t="s">
        <v>977</v>
      </c>
      <c r="E42" s="13" t="s">
        <v>981</v>
      </c>
      <c r="F42" s="10">
        <v>1</v>
      </c>
      <c r="G42" s="10"/>
      <c r="H42" s="1">
        <v>374</v>
      </c>
      <c r="I42" s="1">
        <v>291</v>
      </c>
      <c r="J42" s="1">
        <v>291</v>
      </c>
      <c r="K42" s="2">
        <v>1.01</v>
      </c>
      <c r="L42">
        <v>291</v>
      </c>
      <c r="M42">
        <v>291</v>
      </c>
      <c r="N42">
        <v>291</v>
      </c>
      <c r="O42">
        <v>291</v>
      </c>
      <c r="P42">
        <v>291</v>
      </c>
      <c r="S42">
        <v>291</v>
      </c>
      <c r="T42">
        <v>291.8</v>
      </c>
      <c r="U42" s="17">
        <v>3.4331894200000002</v>
      </c>
      <c r="V42" s="60">
        <v>291</v>
      </c>
      <c r="W42" s="60">
        <v>291</v>
      </c>
      <c r="X42" s="60">
        <v>291</v>
      </c>
      <c r="Y42" s="60">
        <v>291</v>
      </c>
      <c r="Z42" s="60">
        <v>291</v>
      </c>
    </row>
    <row r="43" spans="1:26" x14ac:dyDescent="0.6">
      <c r="A43" s="6" t="s">
        <v>446</v>
      </c>
      <c r="B43" s="10">
        <v>10</v>
      </c>
      <c r="C43" s="13" t="s">
        <v>975</v>
      </c>
      <c r="D43" s="13" t="s">
        <v>977</v>
      </c>
      <c r="E43" s="13" t="s">
        <v>983</v>
      </c>
      <c r="F43" s="10">
        <v>2</v>
      </c>
      <c r="G43" s="10"/>
      <c r="H43" s="1">
        <v>358</v>
      </c>
      <c r="I43" s="1">
        <v>286</v>
      </c>
      <c r="J43" s="1">
        <v>286</v>
      </c>
      <c r="K43" s="2">
        <v>1.01</v>
      </c>
      <c r="L43">
        <v>286</v>
      </c>
      <c r="M43">
        <v>286</v>
      </c>
      <c r="N43">
        <v>286</v>
      </c>
      <c r="O43">
        <v>286</v>
      </c>
      <c r="P43">
        <v>286</v>
      </c>
      <c r="S43">
        <v>286</v>
      </c>
      <c r="T43">
        <v>287.2</v>
      </c>
      <c r="U43" s="17">
        <v>3.5540022800000002</v>
      </c>
      <c r="V43" s="60">
        <v>286</v>
      </c>
      <c r="W43" s="60">
        <v>286</v>
      </c>
      <c r="X43" s="60">
        <v>286</v>
      </c>
      <c r="Y43" s="60">
        <v>286</v>
      </c>
      <c r="Z43" s="60">
        <v>286</v>
      </c>
    </row>
    <row r="44" spans="1:26" x14ac:dyDescent="0.6">
      <c r="A44" s="6" t="s">
        <v>447</v>
      </c>
      <c r="B44" s="10">
        <v>10</v>
      </c>
      <c r="C44" s="13" t="s">
        <v>973</v>
      </c>
      <c r="D44" s="13" t="s">
        <v>976</v>
      </c>
      <c r="E44" s="13" t="s">
        <v>980</v>
      </c>
      <c r="F44" s="10">
        <v>3</v>
      </c>
      <c r="G44" s="10"/>
      <c r="H44" s="1">
        <v>375</v>
      </c>
      <c r="I44" s="1">
        <v>290</v>
      </c>
      <c r="J44" s="1">
        <v>290</v>
      </c>
      <c r="K44" s="2">
        <v>1.01</v>
      </c>
      <c r="L44">
        <v>290</v>
      </c>
      <c r="M44">
        <v>290</v>
      </c>
      <c r="N44">
        <v>290</v>
      </c>
      <c r="O44">
        <v>290</v>
      </c>
      <c r="P44">
        <v>290</v>
      </c>
      <c r="S44">
        <v>290</v>
      </c>
      <c r="T44">
        <v>290.8</v>
      </c>
      <c r="U44" s="17">
        <v>3.6361996799999998</v>
      </c>
      <c r="V44" s="60">
        <v>291</v>
      </c>
      <c r="W44" s="60">
        <v>291</v>
      </c>
      <c r="X44" s="60">
        <v>290</v>
      </c>
      <c r="Y44" s="60">
        <v>291</v>
      </c>
      <c r="Z44" s="60">
        <v>291</v>
      </c>
    </row>
    <row r="45" spans="1:26" x14ac:dyDescent="0.6">
      <c r="A45" s="6" t="s">
        <v>448</v>
      </c>
      <c r="B45" s="10">
        <v>10</v>
      </c>
      <c r="C45" s="13" t="s">
        <v>973</v>
      </c>
      <c r="D45" s="13" t="s">
        <v>976</v>
      </c>
      <c r="E45" s="13" t="s">
        <v>980</v>
      </c>
      <c r="F45" s="10">
        <v>4</v>
      </c>
      <c r="G45" s="10"/>
      <c r="H45" s="1">
        <v>356</v>
      </c>
      <c r="I45" s="1">
        <v>296</v>
      </c>
      <c r="J45" s="1">
        <v>296</v>
      </c>
      <c r="K45" s="2">
        <v>1.01</v>
      </c>
      <c r="L45">
        <v>296</v>
      </c>
      <c r="M45">
        <v>296</v>
      </c>
      <c r="N45">
        <v>296</v>
      </c>
      <c r="O45">
        <v>296</v>
      </c>
      <c r="P45">
        <v>296</v>
      </c>
      <c r="S45">
        <v>296</v>
      </c>
      <c r="T45">
        <v>297.60000000000002</v>
      </c>
      <c r="U45" s="17">
        <v>3.38394584</v>
      </c>
      <c r="V45" s="60">
        <v>296</v>
      </c>
      <c r="W45" s="60">
        <v>296</v>
      </c>
      <c r="X45" s="60">
        <v>296</v>
      </c>
      <c r="Y45" s="60">
        <v>296</v>
      </c>
      <c r="Z45" s="60">
        <v>296</v>
      </c>
    </row>
    <row r="46" spans="1:26" x14ac:dyDescent="0.6">
      <c r="A46" s="6" t="s">
        <v>449</v>
      </c>
      <c r="B46" s="10">
        <v>10</v>
      </c>
      <c r="C46" s="13" t="s">
        <v>973</v>
      </c>
      <c r="D46" s="13" t="s">
        <v>976</v>
      </c>
      <c r="E46" s="13" t="s">
        <v>980</v>
      </c>
      <c r="F46" s="10">
        <v>5</v>
      </c>
      <c r="G46" s="10"/>
      <c r="H46" s="1">
        <v>365</v>
      </c>
      <c r="I46" s="1">
        <v>301</v>
      </c>
      <c r="J46" s="1">
        <v>301</v>
      </c>
      <c r="K46" s="2">
        <v>1.01</v>
      </c>
      <c r="L46">
        <v>301</v>
      </c>
      <c r="M46">
        <v>301</v>
      </c>
      <c r="N46">
        <v>301</v>
      </c>
      <c r="O46">
        <v>301</v>
      </c>
      <c r="P46">
        <v>301</v>
      </c>
      <c r="S46">
        <v>301</v>
      </c>
      <c r="T46">
        <v>301.60000000000002</v>
      </c>
      <c r="U46" s="17">
        <v>3.8134340799999999</v>
      </c>
      <c r="V46" s="60">
        <v>306</v>
      </c>
      <c r="W46" s="60">
        <v>307</v>
      </c>
      <c r="X46" s="60">
        <v>308</v>
      </c>
      <c r="Y46" s="60">
        <v>305</v>
      </c>
      <c r="Z46" s="60">
        <v>307</v>
      </c>
    </row>
    <row r="47" spans="1:26" x14ac:dyDescent="0.6">
      <c r="A47" s="6" t="s">
        <v>450</v>
      </c>
      <c r="B47" s="10">
        <v>10</v>
      </c>
      <c r="C47" s="13" t="s">
        <v>973</v>
      </c>
      <c r="D47" s="13" t="s">
        <v>976</v>
      </c>
      <c r="E47" s="13" t="s">
        <v>980</v>
      </c>
      <c r="F47" s="10">
        <v>6</v>
      </c>
      <c r="G47" s="10"/>
      <c r="H47" s="1">
        <v>388</v>
      </c>
      <c r="I47" s="1">
        <v>319</v>
      </c>
      <c r="J47" s="1">
        <v>319</v>
      </c>
      <c r="K47" s="2">
        <v>1.01</v>
      </c>
      <c r="L47">
        <v>319</v>
      </c>
      <c r="M47">
        <v>319</v>
      </c>
      <c r="N47">
        <v>319</v>
      </c>
      <c r="O47">
        <v>319</v>
      </c>
      <c r="P47">
        <v>319</v>
      </c>
      <c r="S47">
        <v>319</v>
      </c>
      <c r="T47">
        <v>319</v>
      </c>
      <c r="U47" s="17">
        <v>3.7078115999999999</v>
      </c>
      <c r="V47" s="60">
        <v>321</v>
      </c>
      <c r="W47" s="60">
        <v>321</v>
      </c>
      <c r="X47" s="60">
        <v>321</v>
      </c>
      <c r="Y47" s="60">
        <v>321</v>
      </c>
      <c r="Z47" s="60">
        <v>321</v>
      </c>
    </row>
    <row r="48" spans="1:26" x14ac:dyDescent="0.6">
      <c r="A48" s="6" t="s">
        <v>451</v>
      </c>
      <c r="B48" s="10">
        <v>10</v>
      </c>
      <c r="C48" s="13" t="s">
        <v>973</v>
      </c>
      <c r="D48" s="13" t="s">
        <v>976</v>
      </c>
      <c r="E48" s="13" t="s">
        <v>980</v>
      </c>
      <c r="F48" s="10">
        <v>7</v>
      </c>
      <c r="G48" s="10"/>
      <c r="H48" s="1">
        <v>304</v>
      </c>
      <c r="I48" s="1">
        <v>298</v>
      </c>
      <c r="J48" s="1">
        <v>298</v>
      </c>
      <c r="K48" s="2">
        <v>1.01</v>
      </c>
      <c r="L48">
        <v>298</v>
      </c>
      <c r="M48">
        <v>298</v>
      </c>
      <c r="N48">
        <v>298</v>
      </c>
      <c r="O48">
        <v>298</v>
      </c>
      <c r="P48">
        <v>298</v>
      </c>
      <c r="S48">
        <v>298</v>
      </c>
      <c r="T48">
        <v>299.39999999999998</v>
      </c>
      <c r="U48" s="17">
        <v>3.2512908600000001</v>
      </c>
      <c r="V48" s="60">
        <v>298</v>
      </c>
      <c r="W48" s="60">
        <v>298</v>
      </c>
      <c r="X48" s="60">
        <v>298</v>
      </c>
      <c r="Y48" s="60">
        <v>298</v>
      </c>
      <c r="Z48" s="60">
        <v>298</v>
      </c>
    </row>
    <row r="49" spans="1:26" x14ac:dyDescent="0.6">
      <c r="A49" s="6" t="s">
        <v>452</v>
      </c>
      <c r="B49" s="10">
        <v>10</v>
      </c>
      <c r="C49" s="13" t="s">
        <v>973</v>
      </c>
      <c r="D49" s="13" t="s">
        <v>976</v>
      </c>
      <c r="E49" s="13" t="s">
        <v>980</v>
      </c>
      <c r="F49" s="10">
        <v>8</v>
      </c>
      <c r="G49" s="10"/>
      <c r="H49" s="1">
        <v>349</v>
      </c>
      <c r="I49" s="1">
        <v>295</v>
      </c>
      <c r="J49" s="1">
        <v>295</v>
      </c>
      <c r="K49" s="2">
        <v>1.01</v>
      </c>
      <c r="L49">
        <v>295</v>
      </c>
      <c r="M49">
        <v>295</v>
      </c>
      <c r="N49">
        <v>295</v>
      </c>
      <c r="O49">
        <v>295</v>
      </c>
      <c r="P49">
        <v>295</v>
      </c>
      <c r="S49">
        <v>295</v>
      </c>
      <c r="T49">
        <v>296.39999999999998</v>
      </c>
      <c r="U49" s="17">
        <v>3.2564365799999999</v>
      </c>
      <c r="V49" s="60">
        <v>295</v>
      </c>
      <c r="W49" s="60">
        <v>295</v>
      </c>
      <c r="X49" s="60">
        <v>295</v>
      </c>
      <c r="Y49" s="60">
        <v>295</v>
      </c>
      <c r="Z49" s="60">
        <v>295</v>
      </c>
    </row>
    <row r="50" spans="1:26" x14ac:dyDescent="0.6">
      <c r="A50" s="6" t="s">
        <v>453</v>
      </c>
      <c r="B50" s="10">
        <v>10</v>
      </c>
      <c r="C50" s="13" t="s">
        <v>973</v>
      </c>
      <c r="D50" s="13" t="s">
        <v>976</v>
      </c>
      <c r="E50" s="13" t="s">
        <v>980</v>
      </c>
      <c r="F50" s="10">
        <v>9</v>
      </c>
      <c r="G50" s="10"/>
      <c r="H50" s="1">
        <v>339</v>
      </c>
      <c r="I50" s="1">
        <v>290</v>
      </c>
      <c r="J50" s="1">
        <v>290</v>
      </c>
      <c r="K50" s="2">
        <v>1</v>
      </c>
      <c r="L50">
        <v>290</v>
      </c>
      <c r="M50">
        <v>290</v>
      </c>
      <c r="N50">
        <v>290</v>
      </c>
      <c r="O50">
        <v>290</v>
      </c>
      <c r="P50">
        <v>290</v>
      </c>
      <c r="S50">
        <v>290</v>
      </c>
      <c r="T50">
        <v>291.2</v>
      </c>
      <c r="U50" s="17">
        <v>3.3211385600000001</v>
      </c>
      <c r="V50" s="60">
        <v>290</v>
      </c>
      <c r="W50" s="60">
        <v>291</v>
      </c>
      <c r="X50" s="60">
        <v>290</v>
      </c>
      <c r="Y50" s="60">
        <v>291</v>
      </c>
      <c r="Z50" s="60">
        <v>291</v>
      </c>
    </row>
    <row r="51" spans="1:26" x14ac:dyDescent="0.6">
      <c r="A51" s="6" t="s">
        <v>454</v>
      </c>
      <c r="B51" s="10">
        <v>10</v>
      </c>
      <c r="C51" s="13" t="s">
        <v>973</v>
      </c>
      <c r="D51" s="13" t="s">
        <v>976</v>
      </c>
      <c r="E51" s="13" t="s">
        <v>980</v>
      </c>
      <c r="F51" s="10">
        <v>10</v>
      </c>
      <c r="G51" s="10"/>
      <c r="H51" s="1">
        <v>384</v>
      </c>
      <c r="I51" s="1">
        <v>307</v>
      </c>
      <c r="J51" s="1">
        <v>307</v>
      </c>
      <c r="K51" s="2">
        <v>1.01</v>
      </c>
      <c r="L51">
        <v>307</v>
      </c>
      <c r="M51">
        <v>307</v>
      </c>
      <c r="N51">
        <v>307</v>
      </c>
      <c r="O51">
        <v>307</v>
      </c>
      <c r="P51">
        <v>307</v>
      </c>
      <c r="S51">
        <v>307</v>
      </c>
      <c r="T51">
        <v>308.8</v>
      </c>
      <c r="U51" s="17">
        <v>3.7886167799999999</v>
      </c>
      <c r="V51" s="60">
        <v>307</v>
      </c>
      <c r="W51" s="60">
        <v>307</v>
      </c>
      <c r="X51" s="60">
        <v>307</v>
      </c>
      <c r="Y51" s="60">
        <v>307</v>
      </c>
      <c r="Z51" s="60">
        <v>307</v>
      </c>
    </row>
    <row r="52" spans="1:26" x14ac:dyDescent="0.6">
      <c r="A52" s="6" t="s">
        <v>455</v>
      </c>
      <c r="B52" s="10">
        <v>10</v>
      </c>
      <c r="C52" s="13" t="s">
        <v>973</v>
      </c>
      <c r="D52" s="13" t="s">
        <v>976</v>
      </c>
      <c r="E52" s="13" t="s">
        <v>984</v>
      </c>
      <c r="F52" s="10">
        <v>1</v>
      </c>
      <c r="G52" s="10"/>
      <c r="H52" s="1">
        <v>434</v>
      </c>
      <c r="I52" s="1">
        <v>293</v>
      </c>
      <c r="J52" s="1">
        <v>293</v>
      </c>
      <c r="K52" s="2">
        <v>1.01</v>
      </c>
      <c r="L52">
        <v>293</v>
      </c>
      <c r="M52">
        <v>293</v>
      </c>
      <c r="N52">
        <v>293</v>
      </c>
      <c r="O52">
        <v>293</v>
      </c>
      <c r="P52">
        <v>293</v>
      </c>
      <c r="S52">
        <v>294</v>
      </c>
      <c r="T52">
        <v>294.39999999999998</v>
      </c>
      <c r="U52" s="17">
        <v>3.3134920000000001</v>
      </c>
      <c r="V52" s="60">
        <v>293</v>
      </c>
      <c r="W52" s="60">
        <v>293</v>
      </c>
      <c r="X52" s="60">
        <v>293</v>
      </c>
      <c r="Y52" s="60">
        <v>293</v>
      </c>
      <c r="Z52" s="60">
        <v>293</v>
      </c>
    </row>
    <row r="53" spans="1:26" x14ac:dyDescent="0.6">
      <c r="A53" s="6" t="s">
        <v>456</v>
      </c>
      <c r="B53" s="10">
        <v>10</v>
      </c>
      <c r="C53" s="13" t="s">
        <v>973</v>
      </c>
      <c r="D53" s="13" t="s">
        <v>976</v>
      </c>
      <c r="E53" s="13" t="s">
        <v>985</v>
      </c>
      <c r="F53" s="10">
        <v>2</v>
      </c>
      <c r="G53" s="10"/>
      <c r="H53" s="1">
        <v>418</v>
      </c>
      <c r="I53" s="1">
        <v>290</v>
      </c>
      <c r="J53" s="1">
        <v>290</v>
      </c>
      <c r="K53" s="2">
        <v>1.01</v>
      </c>
      <c r="L53">
        <v>290</v>
      </c>
      <c r="M53">
        <v>290</v>
      </c>
      <c r="N53">
        <v>290</v>
      </c>
      <c r="O53">
        <v>290</v>
      </c>
      <c r="P53">
        <v>290</v>
      </c>
      <c r="S53">
        <v>290</v>
      </c>
      <c r="T53">
        <v>292.39999999999998</v>
      </c>
      <c r="U53" s="17">
        <v>3.5373391999999999</v>
      </c>
      <c r="V53" s="60">
        <v>291</v>
      </c>
      <c r="W53" s="60">
        <v>292</v>
      </c>
      <c r="X53" s="60">
        <v>290</v>
      </c>
      <c r="Y53" s="60">
        <v>294</v>
      </c>
      <c r="Z53" s="60">
        <v>291</v>
      </c>
    </row>
    <row r="54" spans="1:26" x14ac:dyDescent="0.6">
      <c r="A54" s="6" t="s">
        <v>457</v>
      </c>
      <c r="B54" s="10">
        <v>10</v>
      </c>
      <c r="C54" s="13" t="s">
        <v>973</v>
      </c>
      <c r="D54" s="13" t="s">
        <v>976</v>
      </c>
      <c r="E54" s="13" t="s">
        <v>982</v>
      </c>
      <c r="F54" s="10">
        <v>3</v>
      </c>
      <c r="G54" s="10"/>
      <c r="H54" s="1">
        <v>435</v>
      </c>
      <c r="I54" s="1">
        <v>290</v>
      </c>
      <c r="J54" s="1">
        <v>290</v>
      </c>
      <c r="K54" s="2">
        <v>1.01</v>
      </c>
      <c r="L54">
        <v>290</v>
      </c>
      <c r="M54">
        <v>290</v>
      </c>
      <c r="N54">
        <v>290</v>
      </c>
      <c r="O54">
        <v>290</v>
      </c>
      <c r="P54">
        <v>290</v>
      </c>
      <c r="S54">
        <v>290</v>
      </c>
      <c r="T54">
        <v>290.39999999999998</v>
      </c>
      <c r="U54" s="17">
        <v>3.1779492</v>
      </c>
      <c r="V54" s="60">
        <v>291</v>
      </c>
      <c r="W54" s="60">
        <v>291</v>
      </c>
      <c r="X54" s="60">
        <v>291</v>
      </c>
      <c r="Y54" s="60">
        <v>291</v>
      </c>
      <c r="Z54" s="60">
        <v>290</v>
      </c>
    </row>
    <row r="55" spans="1:26" x14ac:dyDescent="0.6">
      <c r="A55" s="6" t="s">
        <v>458</v>
      </c>
      <c r="B55" s="10">
        <v>10</v>
      </c>
      <c r="C55" s="13" t="s">
        <v>973</v>
      </c>
      <c r="D55" s="13" t="s">
        <v>976</v>
      </c>
      <c r="E55" s="13" t="s">
        <v>982</v>
      </c>
      <c r="F55" s="10">
        <v>4</v>
      </c>
      <c r="G55" s="10"/>
      <c r="H55" s="1">
        <v>396</v>
      </c>
      <c r="I55" s="1">
        <v>296</v>
      </c>
      <c r="J55" s="1">
        <v>296</v>
      </c>
      <c r="K55" s="2">
        <v>1</v>
      </c>
      <c r="L55">
        <v>296</v>
      </c>
      <c r="M55">
        <v>296</v>
      </c>
      <c r="N55">
        <v>296</v>
      </c>
      <c r="O55">
        <v>296</v>
      </c>
      <c r="P55">
        <v>296</v>
      </c>
      <c r="S55">
        <v>297</v>
      </c>
      <c r="T55">
        <v>298.8</v>
      </c>
      <c r="U55" s="17">
        <v>3.5036819600000002</v>
      </c>
      <c r="V55" s="60">
        <v>296</v>
      </c>
      <c r="W55" s="60">
        <v>296</v>
      </c>
      <c r="X55" s="60">
        <v>296</v>
      </c>
      <c r="Y55" s="60">
        <v>296</v>
      </c>
      <c r="Z55" s="60">
        <v>296</v>
      </c>
    </row>
    <row r="56" spans="1:26" x14ac:dyDescent="0.6">
      <c r="A56" s="6" t="s">
        <v>459</v>
      </c>
      <c r="B56" s="10">
        <v>10</v>
      </c>
      <c r="C56" s="13" t="s">
        <v>973</v>
      </c>
      <c r="D56" s="13" t="s">
        <v>976</v>
      </c>
      <c r="E56" s="13" t="s">
        <v>982</v>
      </c>
      <c r="F56" s="10">
        <v>5</v>
      </c>
      <c r="G56" s="10"/>
      <c r="H56" s="1">
        <v>425</v>
      </c>
      <c r="I56" s="1">
        <v>317</v>
      </c>
      <c r="J56" s="1">
        <v>317</v>
      </c>
      <c r="K56" s="2">
        <v>1.01</v>
      </c>
      <c r="L56">
        <v>317</v>
      </c>
      <c r="M56">
        <v>317</v>
      </c>
      <c r="N56">
        <v>317</v>
      </c>
      <c r="O56">
        <v>317</v>
      </c>
      <c r="P56">
        <v>317</v>
      </c>
      <c r="S56">
        <v>317</v>
      </c>
      <c r="T56">
        <v>317</v>
      </c>
      <c r="U56" s="17">
        <v>3.8675996399999999</v>
      </c>
      <c r="V56" s="60">
        <v>337</v>
      </c>
      <c r="W56" s="60">
        <v>337</v>
      </c>
      <c r="X56" s="60">
        <v>337</v>
      </c>
      <c r="Y56" s="60">
        <v>337</v>
      </c>
      <c r="Z56" s="60">
        <v>337</v>
      </c>
    </row>
    <row r="57" spans="1:26" x14ac:dyDescent="0.6">
      <c r="A57" s="6" t="s">
        <v>460</v>
      </c>
      <c r="B57" s="10">
        <v>10</v>
      </c>
      <c r="C57" s="13" t="s">
        <v>973</v>
      </c>
      <c r="D57" s="13" t="s">
        <v>976</v>
      </c>
      <c r="E57" s="13" t="s">
        <v>982</v>
      </c>
      <c r="F57" s="10">
        <v>6</v>
      </c>
      <c r="G57" s="10"/>
      <c r="H57" s="1">
        <v>448</v>
      </c>
      <c r="I57" s="1">
        <v>336</v>
      </c>
      <c r="J57" s="1">
        <v>336</v>
      </c>
      <c r="K57" s="2">
        <v>1.01</v>
      </c>
      <c r="L57">
        <v>336</v>
      </c>
      <c r="M57">
        <v>336</v>
      </c>
      <c r="N57">
        <v>336</v>
      </c>
      <c r="O57">
        <v>336</v>
      </c>
      <c r="P57">
        <v>336</v>
      </c>
      <c r="S57">
        <v>336</v>
      </c>
      <c r="T57">
        <v>336</v>
      </c>
      <c r="U57" s="17">
        <v>3.5934884600000001</v>
      </c>
      <c r="V57" s="60">
        <v>336</v>
      </c>
      <c r="W57" s="60">
        <v>336</v>
      </c>
      <c r="X57" s="60">
        <v>336</v>
      </c>
      <c r="Y57" s="60">
        <v>336</v>
      </c>
      <c r="Z57" s="60">
        <v>336</v>
      </c>
    </row>
    <row r="58" spans="1:26" x14ac:dyDescent="0.6">
      <c r="A58" s="6" t="s">
        <v>461</v>
      </c>
      <c r="B58" s="10">
        <v>10</v>
      </c>
      <c r="C58" s="13" t="s">
        <v>973</v>
      </c>
      <c r="D58" s="13" t="s">
        <v>976</v>
      </c>
      <c r="E58" s="13" t="s">
        <v>982</v>
      </c>
      <c r="F58" s="10">
        <v>7</v>
      </c>
      <c r="G58" s="10"/>
      <c r="H58" s="1">
        <v>304</v>
      </c>
      <c r="I58" s="1">
        <v>298</v>
      </c>
      <c r="J58" s="1">
        <v>298</v>
      </c>
      <c r="K58" s="2">
        <v>1.01</v>
      </c>
      <c r="L58">
        <v>298</v>
      </c>
      <c r="M58">
        <v>298</v>
      </c>
      <c r="N58">
        <v>298</v>
      </c>
      <c r="O58">
        <v>298</v>
      </c>
      <c r="P58">
        <v>298</v>
      </c>
      <c r="S58">
        <v>300</v>
      </c>
      <c r="T58">
        <v>300.60000000000002</v>
      </c>
      <c r="U58" s="17">
        <v>3.1281682800000001</v>
      </c>
      <c r="V58" s="60">
        <v>299</v>
      </c>
      <c r="W58" s="60">
        <v>298</v>
      </c>
      <c r="X58" s="60">
        <v>298</v>
      </c>
      <c r="Y58" s="60">
        <v>298</v>
      </c>
      <c r="Z58" s="60">
        <v>299</v>
      </c>
    </row>
    <row r="59" spans="1:26" x14ac:dyDescent="0.6">
      <c r="A59" s="6" t="s">
        <v>462</v>
      </c>
      <c r="B59" s="10">
        <v>10</v>
      </c>
      <c r="C59" s="13" t="s">
        <v>973</v>
      </c>
      <c r="D59" s="13" t="s">
        <v>976</v>
      </c>
      <c r="E59" s="13" t="s">
        <v>982</v>
      </c>
      <c r="F59" s="10">
        <v>8</v>
      </c>
      <c r="G59" s="10"/>
      <c r="H59" s="1">
        <v>389</v>
      </c>
      <c r="I59" s="1">
        <v>295</v>
      </c>
      <c r="J59" s="1">
        <v>295</v>
      </c>
      <c r="K59" s="2">
        <v>1.01</v>
      </c>
      <c r="L59">
        <v>295</v>
      </c>
      <c r="M59">
        <v>295</v>
      </c>
      <c r="N59">
        <v>295</v>
      </c>
      <c r="O59">
        <v>295</v>
      </c>
      <c r="P59">
        <v>295</v>
      </c>
      <c r="S59">
        <v>295</v>
      </c>
      <c r="T59">
        <v>296.60000000000002</v>
      </c>
      <c r="U59" s="17">
        <v>3.2916758800000001</v>
      </c>
      <c r="V59" s="60">
        <v>295</v>
      </c>
      <c r="W59" s="60">
        <v>295</v>
      </c>
      <c r="X59" s="60">
        <v>295</v>
      </c>
      <c r="Y59" s="60">
        <v>295</v>
      </c>
      <c r="Z59" s="60">
        <v>295</v>
      </c>
    </row>
    <row r="60" spans="1:26" x14ac:dyDescent="0.6">
      <c r="A60" s="6" t="s">
        <v>463</v>
      </c>
      <c r="B60" s="10">
        <v>10</v>
      </c>
      <c r="C60" s="13" t="s">
        <v>973</v>
      </c>
      <c r="D60" s="13" t="s">
        <v>976</v>
      </c>
      <c r="E60" s="13" t="s">
        <v>982</v>
      </c>
      <c r="F60" s="10">
        <v>9</v>
      </c>
      <c r="G60" s="10"/>
      <c r="H60" s="1">
        <v>379</v>
      </c>
      <c r="I60" s="1">
        <v>290</v>
      </c>
      <c r="J60" s="1">
        <v>290</v>
      </c>
      <c r="K60" s="2">
        <v>1.01</v>
      </c>
      <c r="L60">
        <v>290</v>
      </c>
      <c r="M60">
        <v>290</v>
      </c>
      <c r="N60">
        <v>290</v>
      </c>
      <c r="O60">
        <v>290</v>
      </c>
      <c r="P60">
        <v>290</v>
      </c>
      <c r="S60">
        <v>290</v>
      </c>
      <c r="T60">
        <v>292</v>
      </c>
      <c r="U60" s="17">
        <v>3.3111085</v>
      </c>
      <c r="V60" s="60">
        <v>291</v>
      </c>
      <c r="W60" s="60">
        <v>291</v>
      </c>
      <c r="X60" s="60">
        <v>292</v>
      </c>
      <c r="Y60" s="60">
        <v>290</v>
      </c>
      <c r="Z60" s="60">
        <v>290</v>
      </c>
    </row>
    <row r="61" spans="1:26" x14ac:dyDescent="0.6">
      <c r="A61" s="6" t="s">
        <v>464</v>
      </c>
      <c r="B61" s="10">
        <v>10</v>
      </c>
      <c r="C61" s="13" t="s">
        <v>973</v>
      </c>
      <c r="D61" s="13" t="s">
        <v>976</v>
      </c>
      <c r="E61" s="13" t="s">
        <v>982</v>
      </c>
      <c r="F61" s="10">
        <v>10</v>
      </c>
      <c r="G61" s="10"/>
      <c r="H61" s="1">
        <v>444</v>
      </c>
      <c r="I61" s="1">
        <v>310</v>
      </c>
      <c r="J61" s="1">
        <v>310</v>
      </c>
      <c r="K61" s="2">
        <v>1.01</v>
      </c>
      <c r="L61">
        <v>310</v>
      </c>
      <c r="M61">
        <v>310</v>
      </c>
      <c r="N61">
        <v>310</v>
      </c>
      <c r="O61">
        <v>310</v>
      </c>
      <c r="P61">
        <v>310</v>
      </c>
      <c r="S61">
        <v>311</v>
      </c>
      <c r="T61">
        <v>311</v>
      </c>
      <c r="U61" s="17">
        <v>3.7865009399999998</v>
      </c>
      <c r="V61" s="60">
        <v>311</v>
      </c>
      <c r="W61" s="60">
        <v>311</v>
      </c>
      <c r="X61" s="60">
        <v>311</v>
      </c>
      <c r="Y61" s="60">
        <v>311</v>
      </c>
      <c r="Z61" s="60">
        <v>311</v>
      </c>
    </row>
    <row r="62" spans="1:26" x14ac:dyDescent="0.6">
      <c r="A62" s="6" t="s">
        <v>465</v>
      </c>
      <c r="B62" s="10">
        <v>10</v>
      </c>
      <c r="C62" s="13" t="s">
        <v>973</v>
      </c>
      <c r="D62" s="13" t="s">
        <v>979</v>
      </c>
      <c r="E62" s="13" t="s">
        <v>981</v>
      </c>
      <c r="F62" s="10">
        <v>1</v>
      </c>
      <c r="G62" s="10"/>
      <c r="H62" s="1">
        <v>404</v>
      </c>
      <c r="I62" s="1">
        <v>336</v>
      </c>
      <c r="J62" s="1">
        <v>336</v>
      </c>
      <c r="K62" s="2">
        <v>1.01</v>
      </c>
      <c r="L62">
        <v>336</v>
      </c>
      <c r="M62">
        <v>336</v>
      </c>
      <c r="N62">
        <v>336</v>
      </c>
      <c r="O62">
        <v>336</v>
      </c>
      <c r="P62">
        <v>336</v>
      </c>
      <c r="S62">
        <v>336</v>
      </c>
      <c r="T62">
        <v>336.4</v>
      </c>
      <c r="U62" s="17">
        <v>3.3219330399999998</v>
      </c>
      <c r="V62" s="60">
        <v>336</v>
      </c>
      <c r="W62" s="60">
        <v>336</v>
      </c>
      <c r="X62" s="60">
        <v>336</v>
      </c>
      <c r="Y62" s="60">
        <v>336</v>
      </c>
      <c r="Z62" s="60">
        <v>336</v>
      </c>
    </row>
    <row r="63" spans="1:26" x14ac:dyDescent="0.6">
      <c r="A63" s="6" t="s">
        <v>466</v>
      </c>
      <c r="B63" s="10">
        <v>10</v>
      </c>
      <c r="C63" s="13" t="s">
        <v>973</v>
      </c>
      <c r="D63" s="13" t="s">
        <v>979</v>
      </c>
      <c r="E63" s="13" t="s">
        <v>983</v>
      </c>
      <c r="F63" s="10">
        <v>2</v>
      </c>
      <c r="G63" s="10"/>
      <c r="H63" s="1">
        <v>388</v>
      </c>
      <c r="I63" s="1">
        <v>331</v>
      </c>
      <c r="J63" s="1">
        <v>331</v>
      </c>
      <c r="K63" s="2">
        <v>1.01</v>
      </c>
      <c r="L63">
        <v>331</v>
      </c>
      <c r="M63">
        <v>331</v>
      </c>
      <c r="N63">
        <v>331</v>
      </c>
      <c r="O63">
        <v>331</v>
      </c>
      <c r="P63">
        <v>331</v>
      </c>
      <c r="S63">
        <v>331</v>
      </c>
      <c r="T63">
        <v>332.8</v>
      </c>
      <c r="U63" s="17">
        <v>3.5243916</v>
      </c>
      <c r="V63" s="60">
        <v>331</v>
      </c>
      <c r="W63" s="60">
        <v>331</v>
      </c>
      <c r="X63" s="60">
        <v>331</v>
      </c>
      <c r="Y63" s="60">
        <v>331</v>
      </c>
      <c r="Z63" s="60">
        <v>331</v>
      </c>
    </row>
    <row r="64" spans="1:26" x14ac:dyDescent="0.6">
      <c r="A64" s="6" t="s">
        <v>467</v>
      </c>
      <c r="B64" s="10">
        <v>10</v>
      </c>
      <c r="C64" s="13" t="s">
        <v>973</v>
      </c>
      <c r="D64" s="13" t="s">
        <v>978</v>
      </c>
      <c r="E64" s="13" t="s">
        <v>980</v>
      </c>
      <c r="F64" s="10">
        <v>3</v>
      </c>
      <c r="G64" s="10"/>
      <c r="H64" s="1">
        <v>405</v>
      </c>
      <c r="I64" s="1">
        <v>335</v>
      </c>
      <c r="J64" s="1">
        <v>335</v>
      </c>
      <c r="K64" s="2">
        <v>1.01</v>
      </c>
      <c r="L64">
        <v>335</v>
      </c>
      <c r="M64">
        <v>335</v>
      </c>
      <c r="N64">
        <v>335</v>
      </c>
      <c r="O64">
        <v>335</v>
      </c>
      <c r="P64">
        <v>335</v>
      </c>
      <c r="S64">
        <v>335</v>
      </c>
      <c r="T64">
        <v>335.6</v>
      </c>
      <c r="U64" s="17">
        <v>3.2359844400000002</v>
      </c>
      <c r="V64" s="60">
        <v>336</v>
      </c>
      <c r="W64" s="60">
        <v>336</v>
      </c>
      <c r="X64" s="60">
        <v>336</v>
      </c>
      <c r="Y64" s="60">
        <v>335</v>
      </c>
      <c r="Z64" s="60">
        <v>335</v>
      </c>
    </row>
    <row r="65" spans="1:26" x14ac:dyDescent="0.6">
      <c r="A65" s="6" t="s">
        <v>468</v>
      </c>
      <c r="B65" s="10">
        <v>10</v>
      </c>
      <c r="C65" s="13" t="s">
        <v>973</v>
      </c>
      <c r="D65" s="13" t="s">
        <v>978</v>
      </c>
      <c r="E65" s="13" t="s">
        <v>980</v>
      </c>
      <c r="F65" s="10">
        <v>4</v>
      </c>
      <c r="G65" s="10"/>
      <c r="H65" s="1">
        <v>391</v>
      </c>
      <c r="I65" s="1">
        <v>341</v>
      </c>
      <c r="J65" s="1">
        <v>341</v>
      </c>
      <c r="K65" s="2">
        <v>1.01</v>
      </c>
      <c r="L65">
        <v>341</v>
      </c>
      <c r="M65">
        <v>341</v>
      </c>
      <c r="N65">
        <v>341</v>
      </c>
      <c r="O65">
        <v>341</v>
      </c>
      <c r="P65">
        <v>341</v>
      </c>
      <c r="S65">
        <v>341</v>
      </c>
      <c r="T65">
        <v>342.8</v>
      </c>
      <c r="U65" s="17">
        <v>3.3993947800000002</v>
      </c>
      <c r="V65" s="60">
        <v>341</v>
      </c>
      <c r="W65" s="60">
        <v>341</v>
      </c>
      <c r="X65" s="60">
        <v>341</v>
      </c>
      <c r="Y65" s="60">
        <v>341</v>
      </c>
      <c r="Z65" s="60">
        <v>341</v>
      </c>
    </row>
    <row r="66" spans="1:26" x14ac:dyDescent="0.6">
      <c r="A66" s="6" t="s">
        <v>469</v>
      </c>
      <c r="B66" s="10">
        <v>10</v>
      </c>
      <c r="C66" s="13" t="s">
        <v>973</v>
      </c>
      <c r="D66" s="13" t="s">
        <v>978</v>
      </c>
      <c r="E66" s="13" t="s">
        <v>980</v>
      </c>
      <c r="F66" s="10">
        <v>5</v>
      </c>
      <c r="G66" s="10"/>
      <c r="H66" s="1">
        <v>395</v>
      </c>
      <c r="I66" s="1">
        <v>343</v>
      </c>
      <c r="J66" s="1">
        <v>343</v>
      </c>
      <c r="K66" s="2">
        <v>1.01</v>
      </c>
      <c r="L66">
        <v>343</v>
      </c>
      <c r="M66">
        <v>343</v>
      </c>
      <c r="N66">
        <v>343</v>
      </c>
      <c r="O66">
        <v>343</v>
      </c>
      <c r="P66">
        <v>343</v>
      </c>
      <c r="S66">
        <v>343</v>
      </c>
      <c r="T66">
        <v>343.4</v>
      </c>
      <c r="U66" s="17">
        <v>3.8950008399999998</v>
      </c>
      <c r="V66" s="60">
        <v>348</v>
      </c>
      <c r="W66" s="60">
        <v>348</v>
      </c>
      <c r="X66" s="60">
        <v>346</v>
      </c>
      <c r="Y66" s="60">
        <v>348</v>
      </c>
      <c r="Z66" s="60">
        <v>343</v>
      </c>
    </row>
    <row r="67" spans="1:26" x14ac:dyDescent="0.6">
      <c r="A67" s="6" t="s">
        <v>470</v>
      </c>
      <c r="B67" s="10">
        <v>10</v>
      </c>
      <c r="C67" s="13" t="s">
        <v>973</v>
      </c>
      <c r="D67" s="13" t="s">
        <v>978</v>
      </c>
      <c r="E67" s="13" t="s">
        <v>980</v>
      </c>
      <c r="F67" s="10">
        <v>6</v>
      </c>
      <c r="G67" s="10"/>
      <c r="H67" s="1">
        <v>418</v>
      </c>
      <c r="I67" s="1">
        <v>364</v>
      </c>
      <c r="J67" s="1">
        <v>364</v>
      </c>
      <c r="K67" s="2">
        <v>1.01</v>
      </c>
      <c r="L67">
        <v>364</v>
      </c>
      <c r="M67">
        <v>364</v>
      </c>
      <c r="N67">
        <v>364</v>
      </c>
      <c r="O67">
        <v>364</v>
      </c>
      <c r="P67">
        <v>364</v>
      </c>
      <c r="S67">
        <v>364</v>
      </c>
      <c r="T67">
        <v>364</v>
      </c>
      <c r="U67" s="17">
        <v>3.7466567199999998</v>
      </c>
      <c r="V67" s="60">
        <v>366</v>
      </c>
      <c r="W67" s="60">
        <v>366</v>
      </c>
      <c r="X67" s="60">
        <v>366</v>
      </c>
      <c r="Y67" s="60">
        <v>366</v>
      </c>
      <c r="Z67" s="60">
        <v>364</v>
      </c>
    </row>
    <row r="68" spans="1:26" x14ac:dyDescent="0.6">
      <c r="A68" s="6" t="s">
        <v>471</v>
      </c>
      <c r="B68" s="10">
        <v>10</v>
      </c>
      <c r="C68" s="13" t="s">
        <v>973</v>
      </c>
      <c r="D68" s="13" t="s">
        <v>978</v>
      </c>
      <c r="E68" s="13" t="s">
        <v>980</v>
      </c>
      <c r="F68" s="10">
        <v>7</v>
      </c>
      <c r="G68" s="10"/>
      <c r="H68" s="1">
        <v>349</v>
      </c>
      <c r="I68" s="1">
        <v>343</v>
      </c>
      <c r="J68" s="1">
        <v>343</v>
      </c>
      <c r="K68" s="2">
        <v>1.01</v>
      </c>
      <c r="L68">
        <v>343</v>
      </c>
      <c r="M68">
        <v>343</v>
      </c>
      <c r="N68">
        <v>343</v>
      </c>
      <c r="O68">
        <v>343</v>
      </c>
      <c r="P68">
        <v>343</v>
      </c>
      <c r="S68">
        <v>343</v>
      </c>
      <c r="T68">
        <v>344.6</v>
      </c>
      <c r="U68" s="17">
        <v>3.22674934</v>
      </c>
      <c r="V68" s="60">
        <v>343</v>
      </c>
      <c r="W68" s="60">
        <v>343</v>
      </c>
      <c r="X68" s="60">
        <v>343</v>
      </c>
      <c r="Y68" s="60">
        <v>343</v>
      </c>
      <c r="Z68" s="60">
        <v>343</v>
      </c>
    </row>
    <row r="69" spans="1:26" x14ac:dyDescent="0.6">
      <c r="A69" s="6" t="s">
        <v>472</v>
      </c>
      <c r="B69" s="10">
        <v>10</v>
      </c>
      <c r="C69" s="13" t="s">
        <v>973</v>
      </c>
      <c r="D69" s="13" t="s">
        <v>978</v>
      </c>
      <c r="E69" s="13" t="s">
        <v>980</v>
      </c>
      <c r="F69" s="10">
        <v>8</v>
      </c>
      <c r="G69" s="10"/>
      <c r="H69" s="1">
        <v>384</v>
      </c>
      <c r="I69" s="1">
        <v>340</v>
      </c>
      <c r="J69" s="1">
        <v>340</v>
      </c>
      <c r="K69" s="2">
        <v>1.01</v>
      </c>
      <c r="L69">
        <v>340</v>
      </c>
      <c r="M69">
        <v>340</v>
      </c>
      <c r="N69">
        <v>340</v>
      </c>
      <c r="O69">
        <v>340</v>
      </c>
      <c r="P69">
        <v>340</v>
      </c>
      <c r="S69">
        <v>341</v>
      </c>
      <c r="T69">
        <v>341.4</v>
      </c>
      <c r="U69" s="17">
        <v>3.2452709400000002</v>
      </c>
      <c r="V69" s="60">
        <v>340</v>
      </c>
      <c r="W69" s="60">
        <v>340</v>
      </c>
      <c r="X69" s="60">
        <v>340</v>
      </c>
      <c r="Y69" s="60">
        <v>340</v>
      </c>
      <c r="Z69" s="60">
        <v>340</v>
      </c>
    </row>
    <row r="70" spans="1:26" x14ac:dyDescent="0.6">
      <c r="A70" s="6" t="s">
        <v>473</v>
      </c>
      <c r="B70" s="10">
        <v>10</v>
      </c>
      <c r="C70" s="13" t="s">
        <v>973</v>
      </c>
      <c r="D70" s="13" t="s">
        <v>978</v>
      </c>
      <c r="E70" s="13" t="s">
        <v>980</v>
      </c>
      <c r="F70" s="10">
        <v>9</v>
      </c>
      <c r="G70" s="10"/>
      <c r="H70" s="1">
        <v>374</v>
      </c>
      <c r="I70" s="1">
        <v>335</v>
      </c>
      <c r="J70" s="1">
        <v>335</v>
      </c>
      <c r="K70" s="2">
        <v>1</v>
      </c>
      <c r="L70">
        <v>335</v>
      </c>
      <c r="M70">
        <v>335</v>
      </c>
      <c r="N70">
        <v>335</v>
      </c>
      <c r="O70">
        <v>335</v>
      </c>
      <c r="P70">
        <v>335</v>
      </c>
      <c r="S70">
        <v>335</v>
      </c>
      <c r="T70">
        <v>335.6</v>
      </c>
      <c r="U70" s="17">
        <v>3.3233300799999999</v>
      </c>
      <c r="V70" s="60">
        <v>336</v>
      </c>
      <c r="W70" s="60">
        <v>335</v>
      </c>
      <c r="X70" s="60">
        <v>335</v>
      </c>
      <c r="Y70" s="60">
        <v>336</v>
      </c>
      <c r="Z70" s="60">
        <v>336</v>
      </c>
    </row>
    <row r="71" spans="1:26" x14ac:dyDescent="0.6">
      <c r="A71" s="6" t="s">
        <v>474</v>
      </c>
      <c r="B71" s="10">
        <v>10</v>
      </c>
      <c r="C71" s="13" t="s">
        <v>973</v>
      </c>
      <c r="D71" s="13" t="s">
        <v>978</v>
      </c>
      <c r="E71" s="13" t="s">
        <v>980</v>
      </c>
      <c r="F71" s="10">
        <v>10</v>
      </c>
      <c r="G71" s="10"/>
      <c r="H71" s="1">
        <v>414</v>
      </c>
      <c r="I71" s="1">
        <v>352</v>
      </c>
      <c r="J71" s="1">
        <v>352</v>
      </c>
      <c r="K71" s="2">
        <v>1.01</v>
      </c>
      <c r="L71">
        <v>352</v>
      </c>
      <c r="M71">
        <v>352</v>
      </c>
      <c r="N71">
        <v>352</v>
      </c>
      <c r="O71">
        <v>352</v>
      </c>
      <c r="P71">
        <v>352</v>
      </c>
      <c r="S71">
        <v>352</v>
      </c>
      <c r="T71">
        <v>353.8</v>
      </c>
      <c r="U71" s="17">
        <v>3.5997487000000001</v>
      </c>
      <c r="V71" s="60">
        <v>352</v>
      </c>
      <c r="W71" s="60">
        <v>352</v>
      </c>
      <c r="X71" s="60">
        <v>352</v>
      </c>
      <c r="Y71" s="60">
        <v>352</v>
      </c>
      <c r="Z71" s="60">
        <v>352</v>
      </c>
    </row>
    <row r="72" spans="1:26" x14ac:dyDescent="0.6">
      <c r="A72" s="6" t="s">
        <v>475</v>
      </c>
      <c r="B72" s="10">
        <v>10</v>
      </c>
      <c r="C72" s="13" t="s">
        <v>973</v>
      </c>
      <c r="D72" s="13" t="s">
        <v>978</v>
      </c>
      <c r="E72" s="13" t="s">
        <v>984</v>
      </c>
      <c r="F72" s="10">
        <v>1</v>
      </c>
      <c r="G72" s="10"/>
      <c r="H72" s="1">
        <v>464</v>
      </c>
      <c r="I72" s="1">
        <v>338</v>
      </c>
      <c r="J72" s="1">
        <v>338</v>
      </c>
      <c r="K72" s="2">
        <v>1.01</v>
      </c>
      <c r="L72">
        <v>338</v>
      </c>
      <c r="M72">
        <v>338</v>
      </c>
      <c r="N72">
        <v>338</v>
      </c>
      <c r="O72">
        <v>338</v>
      </c>
      <c r="P72">
        <v>338</v>
      </c>
      <c r="S72">
        <v>338</v>
      </c>
      <c r="T72">
        <v>339</v>
      </c>
      <c r="U72" s="17">
        <v>3.3034253800000002</v>
      </c>
      <c r="V72" s="60">
        <v>338</v>
      </c>
      <c r="W72" s="60">
        <v>338</v>
      </c>
      <c r="X72" s="60">
        <v>338</v>
      </c>
      <c r="Y72" s="60">
        <v>338</v>
      </c>
      <c r="Z72" s="60">
        <v>338</v>
      </c>
    </row>
    <row r="73" spans="1:26" x14ac:dyDescent="0.6">
      <c r="A73" s="6" t="s">
        <v>476</v>
      </c>
      <c r="B73" s="10">
        <v>10</v>
      </c>
      <c r="C73" s="13" t="s">
        <v>973</v>
      </c>
      <c r="D73" s="13" t="s">
        <v>978</v>
      </c>
      <c r="E73" s="13" t="s">
        <v>985</v>
      </c>
      <c r="F73" s="10">
        <v>2</v>
      </c>
      <c r="G73" s="10"/>
      <c r="H73" s="1">
        <v>448</v>
      </c>
      <c r="I73" s="1">
        <v>333</v>
      </c>
      <c r="J73" s="1">
        <v>333</v>
      </c>
      <c r="K73" s="2">
        <v>1</v>
      </c>
      <c r="L73">
        <v>333</v>
      </c>
      <c r="M73">
        <v>333</v>
      </c>
      <c r="N73">
        <v>333</v>
      </c>
      <c r="O73">
        <v>333</v>
      </c>
      <c r="P73">
        <v>333</v>
      </c>
      <c r="S73">
        <v>333</v>
      </c>
      <c r="T73">
        <v>334.8</v>
      </c>
      <c r="U73" s="17">
        <v>3.4898835199999998</v>
      </c>
      <c r="V73" s="60">
        <v>333</v>
      </c>
      <c r="W73" s="60">
        <v>333</v>
      </c>
      <c r="X73" s="60">
        <v>333</v>
      </c>
      <c r="Y73" s="60">
        <v>333</v>
      </c>
      <c r="Z73" s="60">
        <v>333</v>
      </c>
    </row>
    <row r="74" spans="1:26" x14ac:dyDescent="0.6">
      <c r="A74" s="6" t="s">
        <v>477</v>
      </c>
      <c r="B74" s="10">
        <v>10</v>
      </c>
      <c r="C74" s="13" t="s">
        <v>973</v>
      </c>
      <c r="D74" s="13" t="s">
        <v>978</v>
      </c>
      <c r="E74" s="13" t="s">
        <v>982</v>
      </c>
      <c r="F74" s="10">
        <v>3</v>
      </c>
      <c r="G74" s="10"/>
      <c r="H74" s="1">
        <v>465</v>
      </c>
      <c r="I74" s="1">
        <v>335</v>
      </c>
      <c r="J74" s="1">
        <v>335</v>
      </c>
      <c r="K74" s="2">
        <v>1</v>
      </c>
      <c r="L74">
        <v>335</v>
      </c>
      <c r="M74">
        <v>335</v>
      </c>
      <c r="N74">
        <v>335</v>
      </c>
      <c r="O74">
        <v>335</v>
      </c>
      <c r="P74">
        <v>335</v>
      </c>
      <c r="S74">
        <v>335</v>
      </c>
      <c r="T74">
        <v>336.2</v>
      </c>
      <c r="U74" s="17">
        <v>3.31605288</v>
      </c>
      <c r="V74" s="60">
        <v>335</v>
      </c>
      <c r="W74" s="60">
        <v>336</v>
      </c>
      <c r="X74" s="60">
        <v>336</v>
      </c>
      <c r="Y74" s="60">
        <v>336</v>
      </c>
      <c r="Z74" s="60">
        <v>335</v>
      </c>
    </row>
    <row r="75" spans="1:26" x14ac:dyDescent="0.6">
      <c r="A75" s="6" t="s">
        <v>478</v>
      </c>
      <c r="B75" s="10">
        <v>10</v>
      </c>
      <c r="C75" s="13" t="s">
        <v>973</v>
      </c>
      <c r="D75" s="13" t="s">
        <v>978</v>
      </c>
      <c r="E75" s="13" t="s">
        <v>982</v>
      </c>
      <c r="F75" s="10">
        <v>4</v>
      </c>
      <c r="G75" s="10"/>
      <c r="H75" s="1">
        <v>431</v>
      </c>
      <c r="I75" s="1">
        <v>341</v>
      </c>
      <c r="J75" s="1">
        <v>341</v>
      </c>
      <c r="K75" s="2">
        <v>1</v>
      </c>
      <c r="L75">
        <v>341</v>
      </c>
      <c r="M75">
        <v>341</v>
      </c>
      <c r="N75">
        <v>341</v>
      </c>
      <c r="O75">
        <v>341</v>
      </c>
      <c r="P75">
        <v>341</v>
      </c>
      <c r="S75">
        <v>341</v>
      </c>
      <c r="T75">
        <v>342.8</v>
      </c>
      <c r="U75" s="17">
        <v>3.4181384399999999</v>
      </c>
      <c r="V75" s="60">
        <v>341</v>
      </c>
      <c r="W75" s="60">
        <v>341</v>
      </c>
      <c r="X75" s="60">
        <v>341</v>
      </c>
      <c r="Y75" s="60">
        <v>341</v>
      </c>
      <c r="Z75" s="60">
        <v>341</v>
      </c>
    </row>
    <row r="76" spans="1:26" x14ac:dyDescent="0.6">
      <c r="A76" s="6" t="s">
        <v>479</v>
      </c>
      <c r="B76" s="10">
        <v>10</v>
      </c>
      <c r="C76" s="13" t="s">
        <v>973</v>
      </c>
      <c r="D76" s="13" t="s">
        <v>978</v>
      </c>
      <c r="E76" s="13" t="s">
        <v>982</v>
      </c>
      <c r="F76" s="10">
        <v>5</v>
      </c>
      <c r="G76" s="10"/>
      <c r="H76" s="1">
        <v>455</v>
      </c>
      <c r="I76" s="1">
        <v>346</v>
      </c>
      <c r="J76" s="1">
        <v>346</v>
      </c>
      <c r="K76" s="2">
        <v>1.01</v>
      </c>
      <c r="L76">
        <v>346</v>
      </c>
      <c r="M76">
        <v>346</v>
      </c>
      <c r="N76">
        <v>346</v>
      </c>
      <c r="O76">
        <v>346</v>
      </c>
      <c r="P76">
        <v>346</v>
      </c>
      <c r="S76">
        <v>346</v>
      </c>
      <c r="T76">
        <v>346</v>
      </c>
      <c r="U76" s="17">
        <v>3.7946583600000001</v>
      </c>
      <c r="V76" s="60">
        <v>360</v>
      </c>
      <c r="W76" s="60">
        <v>360</v>
      </c>
      <c r="X76" s="60">
        <v>360</v>
      </c>
      <c r="Y76" s="60">
        <v>360</v>
      </c>
      <c r="Z76" s="60">
        <v>364</v>
      </c>
    </row>
    <row r="77" spans="1:26" x14ac:dyDescent="0.6">
      <c r="A77" s="6" t="s">
        <v>480</v>
      </c>
      <c r="B77" s="10">
        <v>10</v>
      </c>
      <c r="C77" s="13" t="s">
        <v>973</v>
      </c>
      <c r="D77" s="13" t="s">
        <v>978</v>
      </c>
      <c r="E77" s="13" t="s">
        <v>982</v>
      </c>
      <c r="F77" s="10">
        <v>6</v>
      </c>
      <c r="G77" s="10"/>
      <c r="H77" s="1">
        <v>478</v>
      </c>
      <c r="I77" s="1">
        <v>368</v>
      </c>
      <c r="J77" s="1">
        <v>368</v>
      </c>
      <c r="K77" s="2">
        <v>1.01</v>
      </c>
      <c r="L77">
        <v>368</v>
      </c>
      <c r="M77">
        <v>368</v>
      </c>
      <c r="N77">
        <v>368</v>
      </c>
      <c r="O77">
        <v>368</v>
      </c>
      <c r="P77">
        <v>368</v>
      </c>
      <c r="S77">
        <v>368</v>
      </c>
      <c r="T77">
        <v>368.6</v>
      </c>
      <c r="U77" s="17">
        <v>3.6530769799999998</v>
      </c>
      <c r="V77" s="60">
        <v>368</v>
      </c>
      <c r="W77" s="60">
        <v>368</v>
      </c>
      <c r="X77" s="60">
        <v>368</v>
      </c>
      <c r="Y77" s="60">
        <v>368</v>
      </c>
      <c r="Z77" s="60">
        <v>368</v>
      </c>
    </row>
    <row r="78" spans="1:26" x14ac:dyDescent="0.6">
      <c r="A78" s="6" t="s">
        <v>481</v>
      </c>
      <c r="B78" s="10">
        <v>10</v>
      </c>
      <c r="C78" s="13" t="s">
        <v>973</v>
      </c>
      <c r="D78" s="13" t="s">
        <v>978</v>
      </c>
      <c r="E78" s="13" t="s">
        <v>982</v>
      </c>
      <c r="F78" s="10">
        <v>7</v>
      </c>
      <c r="G78" s="10"/>
      <c r="H78" s="1">
        <v>349</v>
      </c>
      <c r="I78" s="1">
        <v>343</v>
      </c>
      <c r="J78" s="1">
        <v>343</v>
      </c>
      <c r="K78" s="2">
        <v>1.01</v>
      </c>
      <c r="L78">
        <v>343</v>
      </c>
      <c r="M78">
        <v>343</v>
      </c>
      <c r="N78">
        <v>343</v>
      </c>
      <c r="O78">
        <v>343</v>
      </c>
      <c r="P78">
        <v>343</v>
      </c>
      <c r="S78">
        <v>343</v>
      </c>
      <c r="T78">
        <v>343.8</v>
      </c>
      <c r="U78" s="17">
        <v>3.41662344</v>
      </c>
      <c r="V78" s="60">
        <v>343</v>
      </c>
      <c r="W78" s="60">
        <v>343</v>
      </c>
      <c r="X78" s="60">
        <v>343</v>
      </c>
      <c r="Y78" s="60">
        <v>343</v>
      </c>
      <c r="Z78" s="60">
        <v>344</v>
      </c>
    </row>
    <row r="79" spans="1:26" x14ac:dyDescent="0.6">
      <c r="A79" s="6" t="s">
        <v>482</v>
      </c>
      <c r="B79" s="10">
        <v>10</v>
      </c>
      <c r="C79" s="13" t="s">
        <v>973</v>
      </c>
      <c r="D79" s="13" t="s">
        <v>978</v>
      </c>
      <c r="E79" s="13" t="s">
        <v>982</v>
      </c>
      <c r="F79" s="10">
        <v>8</v>
      </c>
      <c r="G79" s="10"/>
      <c r="H79" s="1">
        <v>424</v>
      </c>
      <c r="I79" s="1">
        <v>340</v>
      </c>
      <c r="J79" s="1">
        <v>340</v>
      </c>
      <c r="K79" s="2">
        <v>1.01</v>
      </c>
      <c r="L79">
        <v>340</v>
      </c>
      <c r="M79">
        <v>340</v>
      </c>
      <c r="N79">
        <v>340</v>
      </c>
      <c r="O79">
        <v>340</v>
      </c>
      <c r="P79">
        <v>340</v>
      </c>
      <c r="S79">
        <v>341</v>
      </c>
      <c r="T79">
        <v>341.6</v>
      </c>
      <c r="U79" s="17">
        <v>3.30594228</v>
      </c>
      <c r="V79" s="60">
        <v>340</v>
      </c>
      <c r="W79" s="60">
        <v>340</v>
      </c>
      <c r="X79" s="60">
        <v>340</v>
      </c>
      <c r="Y79" s="60">
        <v>340</v>
      </c>
      <c r="Z79" s="60">
        <v>340</v>
      </c>
    </row>
    <row r="80" spans="1:26" x14ac:dyDescent="0.6">
      <c r="A80" s="6" t="s">
        <v>483</v>
      </c>
      <c r="B80" s="10">
        <v>10</v>
      </c>
      <c r="C80" s="13" t="s">
        <v>973</v>
      </c>
      <c r="D80" s="13" t="s">
        <v>978</v>
      </c>
      <c r="E80" s="13" t="s">
        <v>982</v>
      </c>
      <c r="F80" s="10">
        <v>9</v>
      </c>
      <c r="G80" s="10"/>
      <c r="H80" s="1">
        <v>414</v>
      </c>
      <c r="I80" s="1">
        <v>335</v>
      </c>
      <c r="J80" s="1">
        <v>335</v>
      </c>
      <c r="K80" s="2">
        <v>1.01</v>
      </c>
      <c r="L80">
        <v>335</v>
      </c>
      <c r="M80">
        <v>335</v>
      </c>
      <c r="N80">
        <v>335</v>
      </c>
      <c r="O80">
        <v>335</v>
      </c>
      <c r="P80">
        <v>335</v>
      </c>
      <c r="S80">
        <v>335</v>
      </c>
      <c r="T80">
        <v>338</v>
      </c>
      <c r="U80" s="17">
        <v>3.2806237999999999</v>
      </c>
      <c r="V80" s="60">
        <v>335</v>
      </c>
      <c r="W80" s="60">
        <v>335</v>
      </c>
      <c r="X80" s="60">
        <v>335</v>
      </c>
      <c r="Y80" s="60">
        <v>336</v>
      </c>
      <c r="Z80" s="60">
        <v>336</v>
      </c>
    </row>
    <row r="81" spans="1:26" x14ac:dyDescent="0.6">
      <c r="A81" s="6" t="s">
        <v>484</v>
      </c>
      <c r="B81" s="10">
        <v>10</v>
      </c>
      <c r="C81" s="13" t="s">
        <v>973</v>
      </c>
      <c r="D81" s="13" t="s">
        <v>978</v>
      </c>
      <c r="E81" s="13" t="s">
        <v>982</v>
      </c>
      <c r="F81" s="10">
        <v>10</v>
      </c>
      <c r="G81" s="10"/>
      <c r="H81" s="1">
        <v>474</v>
      </c>
      <c r="I81" s="1">
        <v>354</v>
      </c>
      <c r="J81" s="1">
        <v>354</v>
      </c>
      <c r="K81" s="2">
        <v>1.01</v>
      </c>
      <c r="L81">
        <v>354</v>
      </c>
      <c r="M81">
        <v>354</v>
      </c>
      <c r="N81">
        <v>354</v>
      </c>
      <c r="O81">
        <v>354</v>
      </c>
      <c r="P81">
        <v>354</v>
      </c>
      <c r="S81">
        <v>354</v>
      </c>
      <c r="T81">
        <v>355.2</v>
      </c>
      <c r="U81" s="17">
        <v>3.69314936</v>
      </c>
      <c r="V81" s="60">
        <v>355</v>
      </c>
      <c r="W81" s="60">
        <v>355</v>
      </c>
      <c r="X81" s="60">
        <v>355</v>
      </c>
      <c r="Y81" s="60">
        <v>355</v>
      </c>
      <c r="Z81" s="60">
        <v>355</v>
      </c>
    </row>
    <row r="82" spans="1:26" x14ac:dyDescent="0.6">
      <c r="A82" s="6" t="s">
        <v>485</v>
      </c>
      <c r="B82" s="10">
        <v>15</v>
      </c>
      <c r="C82" s="12" t="s">
        <v>971</v>
      </c>
      <c r="D82" s="13" t="s">
        <v>977</v>
      </c>
      <c r="E82" s="13" t="s">
        <v>981</v>
      </c>
      <c r="F82" s="10">
        <v>1</v>
      </c>
      <c r="G82" s="10"/>
      <c r="H82" s="1">
        <v>355</v>
      </c>
      <c r="I82" s="1">
        <v>285</v>
      </c>
      <c r="J82" s="1">
        <v>285</v>
      </c>
      <c r="K82" s="2">
        <v>1.51</v>
      </c>
      <c r="L82">
        <v>285</v>
      </c>
      <c r="M82">
        <v>285</v>
      </c>
      <c r="N82">
        <v>285</v>
      </c>
      <c r="O82">
        <v>285</v>
      </c>
      <c r="P82">
        <v>285</v>
      </c>
      <c r="S82">
        <v>285</v>
      </c>
      <c r="T82">
        <v>287.8</v>
      </c>
      <c r="U82" s="17">
        <v>3.9412907399999999</v>
      </c>
      <c r="V82" s="60">
        <v>287</v>
      </c>
      <c r="W82" s="60">
        <v>288</v>
      </c>
      <c r="X82" s="60">
        <v>286</v>
      </c>
      <c r="Y82" s="60">
        <v>287</v>
      </c>
      <c r="Z82" s="60">
        <v>287</v>
      </c>
    </row>
    <row r="83" spans="1:26" x14ac:dyDescent="0.6">
      <c r="A83" s="6" t="s">
        <v>486</v>
      </c>
      <c r="B83" s="10">
        <v>15</v>
      </c>
      <c r="C83" s="12" t="s">
        <v>972</v>
      </c>
      <c r="D83" s="13" t="s">
        <v>977</v>
      </c>
      <c r="E83" s="13" t="s">
        <v>983</v>
      </c>
      <c r="F83" s="10">
        <v>2</v>
      </c>
      <c r="G83" s="10"/>
      <c r="H83" s="1">
        <v>362</v>
      </c>
      <c r="I83" s="1">
        <v>278</v>
      </c>
      <c r="J83" s="1">
        <v>278</v>
      </c>
      <c r="K83" s="2">
        <v>1.5</v>
      </c>
      <c r="L83">
        <v>278</v>
      </c>
      <c r="M83">
        <v>278</v>
      </c>
      <c r="N83">
        <v>278</v>
      </c>
      <c r="O83">
        <v>278</v>
      </c>
      <c r="P83">
        <v>278</v>
      </c>
      <c r="S83">
        <v>278</v>
      </c>
      <c r="T83">
        <v>279</v>
      </c>
      <c r="U83" s="17">
        <v>3.9553355799999999</v>
      </c>
      <c r="V83" s="60">
        <v>284</v>
      </c>
      <c r="W83" s="60">
        <v>280</v>
      </c>
      <c r="X83" s="60">
        <v>281</v>
      </c>
      <c r="Y83" s="60">
        <v>282</v>
      </c>
      <c r="Z83" s="60">
        <v>282</v>
      </c>
    </row>
    <row r="84" spans="1:26" x14ac:dyDescent="0.6">
      <c r="A84" s="6" t="s">
        <v>487</v>
      </c>
      <c r="B84" s="10">
        <v>15</v>
      </c>
      <c r="C84" s="12" t="s">
        <v>970</v>
      </c>
      <c r="D84" s="13" t="s">
        <v>976</v>
      </c>
      <c r="E84" s="13" t="s">
        <v>980</v>
      </c>
      <c r="F84" s="10">
        <v>3</v>
      </c>
      <c r="G84" s="10"/>
      <c r="H84" s="1">
        <v>339</v>
      </c>
      <c r="I84" s="1">
        <v>284</v>
      </c>
      <c r="J84" s="1">
        <v>284</v>
      </c>
      <c r="K84" s="2">
        <v>1.51</v>
      </c>
      <c r="L84">
        <v>284</v>
      </c>
      <c r="M84">
        <v>284</v>
      </c>
      <c r="N84">
        <v>284</v>
      </c>
      <c r="O84">
        <v>284</v>
      </c>
      <c r="P84">
        <v>284</v>
      </c>
      <c r="S84">
        <v>285</v>
      </c>
      <c r="T84">
        <v>286.60000000000002</v>
      </c>
      <c r="U84" s="17">
        <v>3.9263551200000002</v>
      </c>
      <c r="V84" s="60">
        <v>287</v>
      </c>
      <c r="W84" s="60">
        <v>287</v>
      </c>
      <c r="X84" s="60">
        <v>288</v>
      </c>
      <c r="Y84" s="60">
        <v>288</v>
      </c>
      <c r="Z84" s="60">
        <v>287</v>
      </c>
    </row>
    <row r="85" spans="1:26" x14ac:dyDescent="0.6">
      <c r="A85" s="6" t="s">
        <v>488</v>
      </c>
      <c r="B85" s="10">
        <v>15</v>
      </c>
      <c r="C85" s="12" t="s">
        <v>970</v>
      </c>
      <c r="D85" s="13" t="s">
        <v>976</v>
      </c>
      <c r="E85" s="13" t="s">
        <v>980</v>
      </c>
      <c r="F85" s="10">
        <v>4</v>
      </c>
      <c r="G85" s="10"/>
      <c r="H85" s="1">
        <v>344</v>
      </c>
      <c r="I85" s="1">
        <v>296</v>
      </c>
      <c r="J85" s="1">
        <v>296</v>
      </c>
      <c r="K85" s="2">
        <v>1.51</v>
      </c>
      <c r="L85">
        <v>296</v>
      </c>
      <c r="M85">
        <v>296</v>
      </c>
      <c r="N85">
        <v>296</v>
      </c>
      <c r="O85">
        <v>296</v>
      </c>
      <c r="P85">
        <v>296</v>
      </c>
      <c r="S85">
        <v>297</v>
      </c>
      <c r="T85">
        <v>300</v>
      </c>
      <c r="U85" s="17">
        <v>4.0559873599999996</v>
      </c>
      <c r="V85" s="60">
        <v>304</v>
      </c>
      <c r="W85" s="60">
        <v>301</v>
      </c>
      <c r="X85" s="60">
        <v>302</v>
      </c>
      <c r="Y85" s="60">
        <v>302</v>
      </c>
      <c r="Z85" s="60">
        <v>302</v>
      </c>
    </row>
    <row r="86" spans="1:26" x14ac:dyDescent="0.6">
      <c r="A86" s="6" t="s">
        <v>489</v>
      </c>
      <c r="B86" s="10">
        <v>15</v>
      </c>
      <c r="C86" s="12" t="s">
        <v>970</v>
      </c>
      <c r="D86" s="13" t="s">
        <v>976</v>
      </c>
      <c r="E86" s="13" t="s">
        <v>980</v>
      </c>
      <c r="F86" s="10">
        <v>5</v>
      </c>
      <c r="G86" s="10"/>
      <c r="H86" s="1">
        <v>335</v>
      </c>
      <c r="I86" s="1">
        <v>282</v>
      </c>
      <c r="J86" s="1">
        <v>282</v>
      </c>
      <c r="K86" s="2">
        <v>1.51</v>
      </c>
      <c r="L86">
        <v>282</v>
      </c>
      <c r="M86">
        <v>282</v>
      </c>
      <c r="N86">
        <v>282</v>
      </c>
      <c r="O86">
        <v>282</v>
      </c>
      <c r="P86">
        <v>282</v>
      </c>
      <c r="S86">
        <v>282</v>
      </c>
      <c r="T86">
        <v>285</v>
      </c>
      <c r="U86" s="17">
        <v>4.4463834200000001</v>
      </c>
      <c r="V86" s="60">
        <v>289</v>
      </c>
      <c r="W86" s="60">
        <v>292</v>
      </c>
      <c r="X86" s="60">
        <v>290</v>
      </c>
      <c r="Y86" s="60">
        <v>289</v>
      </c>
      <c r="Z86" s="60">
        <v>291</v>
      </c>
    </row>
    <row r="87" spans="1:26" x14ac:dyDescent="0.6">
      <c r="A87" s="6" t="s">
        <v>490</v>
      </c>
      <c r="B87" s="10">
        <v>15</v>
      </c>
      <c r="C87" s="12" t="s">
        <v>970</v>
      </c>
      <c r="D87" s="13" t="s">
        <v>976</v>
      </c>
      <c r="E87" s="13" t="s">
        <v>980</v>
      </c>
      <c r="F87" s="10">
        <v>6</v>
      </c>
      <c r="G87" s="10"/>
      <c r="H87" s="1">
        <v>355</v>
      </c>
      <c r="I87" s="1">
        <v>311</v>
      </c>
      <c r="J87" s="1">
        <v>311</v>
      </c>
      <c r="K87" s="2">
        <v>1.51</v>
      </c>
      <c r="L87">
        <v>311</v>
      </c>
      <c r="M87">
        <v>311</v>
      </c>
      <c r="N87">
        <v>311</v>
      </c>
      <c r="O87">
        <v>311</v>
      </c>
      <c r="P87">
        <v>311</v>
      </c>
      <c r="S87">
        <v>313</v>
      </c>
      <c r="T87">
        <v>313.60000000000002</v>
      </c>
      <c r="U87" s="17">
        <v>4.2984805399999999</v>
      </c>
      <c r="V87" s="60">
        <v>315</v>
      </c>
      <c r="W87" s="60">
        <v>317</v>
      </c>
      <c r="X87" s="60">
        <v>315</v>
      </c>
      <c r="Y87" s="60">
        <v>315</v>
      </c>
      <c r="Z87" s="60">
        <v>316</v>
      </c>
    </row>
    <row r="88" spans="1:26" x14ac:dyDescent="0.6">
      <c r="A88" s="6" t="s">
        <v>491</v>
      </c>
      <c r="B88" s="10">
        <v>15</v>
      </c>
      <c r="C88" s="12" t="s">
        <v>970</v>
      </c>
      <c r="D88" s="13" t="s">
        <v>976</v>
      </c>
      <c r="E88" s="13" t="s">
        <v>980</v>
      </c>
      <c r="F88" s="10">
        <v>7</v>
      </c>
      <c r="G88" s="10"/>
      <c r="H88" s="1">
        <v>344</v>
      </c>
      <c r="I88" s="1">
        <v>298</v>
      </c>
      <c r="J88" s="1">
        <v>298</v>
      </c>
      <c r="K88" s="2">
        <v>1.51</v>
      </c>
      <c r="L88">
        <v>298</v>
      </c>
      <c r="M88">
        <v>298</v>
      </c>
      <c r="N88">
        <v>298</v>
      </c>
      <c r="O88">
        <v>298</v>
      </c>
      <c r="P88">
        <v>298</v>
      </c>
      <c r="S88">
        <v>299</v>
      </c>
      <c r="T88">
        <v>301</v>
      </c>
      <c r="U88" s="17">
        <v>4.01257544</v>
      </c>
      <c r="V88" s="60">
        <v>306</v>
      </c>
      <c r="W88" s="60">
        <v>307</v>
      </c>
      <c r="X88" s="60">
        <v>307</v>
      </c>
      <c r="Y88" s="60">
        <v>306</v>
      </c>
      <c r="Z88" s="60">
        <v>306</v>
      </c>
    </row>
    <row r="89" spans="1:26" x14ac:dyDescent="0.6">
      <c r="A89" s="6" t="s">
        <v>492</v>
      </c>
      <c r="B89" s="10">
        <v>15</v>
      </c>
      <c r="C89" s="12" t="s">
        <v>970</v>
      </c>
      <c r="D89" s="13" t="s">
        <v>976</v>
      </c>
      <c r="E89" s="13" t="s">
        <v>980</v>
      </c>
      <c r="F89" s="10">
        <v>8</v>
      </c>
      <c r="G89" s="10"/>
      <c r="H89" s="1">
        <v>405</v>
      </c>
      <c r="I89" s="1">
        <v>294</v>
      </c>
      <c r="J89" s="1">
        <v>294</v>
      </c>
      <c r="K89" s="2">
        <v>1.51</v>
      </c>
      <c r="L89">
        <v>294</v>
      </c>
      <c r="M89">
        <v>294</v>
      </c>
      <c r="N89">
        <v>294</v>
      </c>
      <c r="O89">
        <v>294</v>
      </c>
      <c r="P89">
        <v>294</v>
      </c>
      <c r="S89">
        <v>295</v>
      </c>
      <c r="T89">
        <v>296.2</v>
      </c>
      <c r="U89" s="17">
        <v>4.4665972399999996</v>
      </c>
      <c r="V89" s="60">
        <v>305</v>
      </c>
      <c r="W89" s="60">
        <v>303</v>
      </c>
      <c r="X89" s="60">
        <v>304</v>
      </c>
      <c r="Y89" s="60">
        <v>304</v>
      </c>
      <c r="Z89" s="60">
        <v>303</v>
      </c>
    </row>
    <row r="90" spans="1:26" x14ac:dyDescent="0.6">
      <c r="A90" s="6" t="s">
        <v>493</v>
      </c>
      <c r="B90" s="10">
        <v>15</v>
      </c>
      <c r="C90" s="12" t="s">
        <v>970</v>
      </c>
      <c r="D90" s="13" t="s">
        <v>976</v>
      </c>
      <c r="E90" s="13" t="s">
        <v>980</v>
      </c>
      <c r="F90" s="10">
        <v>9</v>
      </c>
      <c r="G90" s="10"/>
      <c r="H90" s="1">
        <v>328</v>
      </c>
      <c r="I90" s="1">
        <v>290</v>
      </c>
      <c r="J90" s="1">
        <v>290</v>
      </c>
      <c r="K90" s="2">
        <v>1.51</v>
      </c>
      <c r="L90">
        <v>290</v>
      </c>
      <c r="M90">
        <v>290</v>
      </c>
      <c r="N90">
        <v>290</v>
      </c>
      <c r="O90">
        <v>290</v>
      </c>
      <c r="P90">
        <v>290</v>
      </c>
      <c r="S90">
        <v>291</v>
      </c>
      <c r="T90">
        <v>292.60000000000002</v>
      </c>
      <c r="U90" s="17">
        <v>3.8879124200000001</v>
      </c>
      <c r="V90" s="60">
        <v>296</v>
      </c>
      <c r="W90" s="60">
        <v>295</v>
      </c>
      <c r="X90" s="60">
        <v>295</v>
      </c>
      <c r="Y90" s="60">
        <v>295</v>
      </c>
      <c r="Z90" s="60">
        <v>295</v>
      </c>
    </row>
    <row r="91" spans="1:26" x14ac:dyDescent="0.6">
      <c r="A91" s="6" t="s">
        <v>494</v>
      </c>
      <c r="B91" s="10">
        <v>15</v>
      </c>
      <c r="C91" s="12" t="s">
        <v>970</v>
      </c>
      <c r="D91" s="13" t="s">
        <v>976</v>
      </c>
      <c r="E91" s="13" t="s">
        <v>980</v>
      </c>
      <c r="F91" s="10">
        <v>10</v>
      </c>
      <c r="G91" s="10"/>
      <c r="H91" s="1">
        <v>388</v>
      </c>
      <c r="I91" s="1">
        <v>306</v>
      </c>
      <c r="J91" s="1">
        <v>306</v>
      </c>
      <c r="K91" s="2">
        <v>1.51</v>
      </c>
      <c r="L91">
        <v>306</v>
      </c>
      <c r="M91">
        <v>306</v>
      </c>
      <c r="N91">
        <v>306</v>
      </c>
      <c r="O91">
        <v>306</v>
      </c>
      <c r="P91">
        <v>306</v>
      </c>
      <c r="S91">
        <v>307</v>
      </c>
      <c r="T91">
        <v>309.8</v>
      </c>
      <c r="U91" s="17">
        <v>3.8766782399999999</v>
      </c>
      <c r="V91" s="60">
        <v>313</v>
      </c>
      <c r="W91" s="60">
        <v>312</v>
      </c>
      <c r="X91" s="60">
        <v>314</v>
      </c>
      <c r="Y91" s="60">
        <v>313</v>
      </c>
      <c r="Z91" s="60">
        <v>314</v>
      </c>
    </row>
    <row r="92" spans="1:26" x14ac:dyDescent="0.6">
      <c r="A92" s="6" t="s">
        <v>495</v>
      </c>
      <c r="B92" s="10">
        <v>15</v>
      </c>
      <c r="C92" s="12" t="s">
        <v>970</v>
      </c>
      <c r="D92" s="13" t="s">
        <v>976</v>
      </c>
      <c r="E92" s="13" t="s">
        <v>984</v>
      </c>
      <c r="F92" s="10">
        <v>1</v>
      </c>
      <c r="G92" s="10"/>
      <c r="H92" s="1">
        <v>395</v>
      </c>
      <c r="I92" s="1">
        <v>285</v>
      </c>
      <c r="J92" s="1">
        <v>285</v>
      </c>
      <c r="K92" s="2">
        <v>1.51</v>
      </c>
      <c r="L92">
        <v>285</v>
      </c>
      <c r="M92">
        <v>285</v>
      </c>
      <c r="N92">
        <v>285</v>
      </c>
      <c r="O92">
        <v>285</v>
      </c>
      <c r="P92">
        <v>285</v>
      </c>
      <c r="S92">
        <v>286</v>
      </c>
      <c r="T92">
        <v>287.2</v>
      </c>
      <c r="U92" s="17">
        <v>3.8702336000000002</v>
      </c>
      <c r="V92" s="60">
        <v>288</v>
      </c>
      <c r="W92" s="60">
        <v>289</v>
      </c>
      <c r="X92" s="60">
        <v>289</v>
      </c>
      <c r="Y92" s="60">
        <v>290</v>
      </c>
      <c r="Z92" s="60">
        <v>290</v>
      </c>
    </row>
    <row r="93" spans="1:26" x14ac:dyDescent="0.6">
      <c r="A93" s="6" t="s">
        <v>496</v>
      </c>
      <c r="B93" s="10">
        <v>15</v>
      </c>
      <c r="C93" s="12" t="s">
        <v>970</v>
      </c>
      <c r="D93" s="13" t="s">
        <v>976</v>
      </c>
      <c r="E93" s="13" t="s">
        <v>985</v>
      </c>
      <c r="F93" s="10">
        <v>2</v>
      </c>
      <c r="G93" s="10"/>
      <c r="H93" s="1">
        <v>422</v>
      </c>
      <c r="I93" s="1">
        <v>278</v>
      </c>
      <c r="J93" s="1">
        <v>278</v>
      </c>
      <c r="K93" s="2">
        <v>1.51</v>
      </c>
      <c r="L93">
        <v>278</v>
      </c>
      <c r="M93">
        <v>278</v>
      </c>
      <c r="N93">
        <v>278</v>
      </c>
      <c r="O93">
        <v>278</v>
      </c>
      <c r="P93">
        <v>278</v>
      </c>
      <c r="S93">
        <v>281</v>
      </c>
      <c r="T93">
        <v>282.8</v>
      </c>
      <c r="U93" s="17">
        <v>4.0737028400000002</v>
      </c>
      <c r="V93" s="60">
        <v>285</v>
      </c>
      <c r="W93" s="60">
        <v>285</v>
      </c>
      <c r="X93" s="60">
        <v>284</v>
      </c>
      <c r="Y93" s="60">
        <v>284</v>
      </c>
      <c r="Z93" s="60">
        <v>285</v>
      </c>
    </row>
    <row r="94" spans="1:26" x14ac:dyDescent="0.6">
      <c r="A94" s="6" t="s">
        <v>497</v>
      </c>
      <c r="B94" s="10">
        <v>15</v>
      </c>
      <c r="C94" s="12" t="s">
        <v>970</v>
      </c>
      <c r="D94" s="13" t="s">
        <v>976</v>
      </c>
      <c r="E94" s="13" t="s">
        <v>982</v>
      </c>
      <c r="F94" s="10">
        <v>3</v>
      </c>
      <c r="G94" s="10"/>
      <c r="H94" s="1">
        <v>381</v>
      </c>
      <c r="I94" s="1">
        <v>285</v>
      </c>
      <c r="J94" s="1">
        <v>285</v>
      </c>
      <c r="K94" s="2">
        <v>1.51</v>
      </c>
      <c r="L94">
        <v>285</v>
      </c>
      <c r="M94">
        <v>285</v>
      </c>
      <c r="N94">
        <v>285</v>
      </c>
      <c r="O94">
        <v>285</v>
      </c>
      <c r="P94">
        <v>285</v>
      </c>
      <c r="S94">
        <v>288</v>
      </c>
      <c r="T94">
        <v>288.60000000000002</v>
      </c>
      <c r="U94" s="17">
        <v>4.0401757199999997</v>
      </c>
      <c r="V94" s="60">
        <v>290</v>
      </c>
      <c r="W94" s="60">
        <v>288</v>
      </c>
      <c r="X94" s="60">
        <v>288</v>
      </c>
      <c r="Y94" s="60">
        <v>288</v>
      </c>
      <c r="Z94" s="60">
        <v>287</v>
      </c>
    </row>
    <row r="95" spans="1:26" x14ac:dyDescent="0.6">
      <c r="A95" s="6" t="s">
        <v>498</v>
      </c>
      <c r="B95" s="10">
        <v>15</v>
      </c>
      <c r="C95" s="12" t="s">
        <v>970</v>
      </c>
      <c r="D95" s="13" t="s">
        <v>976</v>
      </c>
      <c r="E95" s="13" t="s">
        <v>982</v>
      </c>
      <c r="F95" s="10">
        <v>4</v>
      </c>
      <c r="G95" s="10"/>
      <c r="H95" s="1">
        <v>402</v>
      </c>
      <c r="I95" s="1">
        <v>297</v>
      </c>
      <c r="J95" s="1">
        <v>297</v>
      </c>
      <c r="K95" s="2">
        <v>1.51</v>
      </c>
      <c r="L95">
        <v>297</v>
      </c>
      <c r="M95">
        <v>297</v>
      </c>
      <c r="N95">
        <v>297</v>
      </c>
      <c r="O95">
        <v>297</v>
      </c>
      <c r="P95">
        <v>297</v>
      </c>
      <c r="S95">
        <v>301</v>
      </c>
      <c r="T95">
        <v>303.8</v>
      </c>
      <c r="U95" s="17">
        <v>4.0337470599999996</v>
      </c>
      <c r="V95" s="60">
        <v>303</v>
      </c>
      <c r="W95" s="60">
        <v>305</v>
      </c>
      <c r="X95" s="60">
        <v>304</v>
      </c>
      <c r="Y95" s="60">
        <v>305</v>
      </c>
      <c r="Z95" s="60">
        <v>305</v>
      </c>
    </row>
    <row r="96" spans="1:26" x14ac:dyDescent="0.6">
      <c r="A96" s="6" t="s">
        <v>499</v>
      </c>
      <c r="B96" s="10">
        <v>15</v>
      </c>
      <c r="C96" s="12" t="s">
        <v>970</v>
      </c>
      <c r="D96" s="13" t="s">
        <v>976</v>
      </c>
      <c r="E96" s="13" t="s">
        <v>982</v>
      </c>
      <c r="F96" s="10">
        <v>5</v>
      </c>
      <c r="G96" s="10"/>
      <c r="H96" s="1">
        <v>375</v>
      </c>
      <c r="I96" s="1">
        <v>284</v>
      </c>
      <c r="J96" s="1">
        <v>284</v>
      </c>
      <c r="K96" s="2">
        <v>1.51</v>
      </c>
      <c r="L96">
        <v>284</v>
      </c>
      <c r="M96">
        <v>284</v>
      </c>
      <c r="N96">
        <v>284</v>
      </c>
      <c r="O96">
        <v>284</v>
      </c>
      <c r="P96">
        <v>284</v>
      </c>
      <c r="S96">
        <v>284</v>
      </c>
      <c r="T96">
        <v>285.8</v>
      </c>
      <c r="U96" s="17">
        <v>4.3034315999999997</v>
      </c>
      <c r="V96" s="60">
        <v>301</v>
      </c>
      <c r="W96" s="60">
        <v>301</v>
      </c>
      <c r="X96" s="60">
        <v>302</v>
      </c>
      <c r="Y96" s="60">
        <v>297</v>
      </c>
      <c r="Z96" s="60">
        <v>296</v>
      </c>
    </row>
    <row r="97" spans="1:26" x14ac:dyDescent="0.6">
      <c r="A97" s="6" t="s">
        <v>500</v>
      </c>
      <c r="B97" s="10">
        <v>15</v>
      </c>
      <c r="C97" s="12" t="s">
        <v>970</v>
      </c>
      <c r="D97" s="13" t="s">
        <v>976</v>
      </c>
      <c r="E97" s="13" t="s">
        <v>982</v>
      </c>
      <c r="F97" s="10">
        <v>6</v>
      </c>
      <c r="G97" s="10"/>
      <c r="H97" s="1">
        <v>375</v>
      </c>
      <c r="I97" s="1">
        <v>313</v>
      </c>
      <c r="J97" s="1">
        <v>313</v>
      </c>
      <c r="K97" s="2">
        <v>1.51</v>
      </c>
      <c r="L97">
        <v>313</v>
      </c>
      <c r="M97">
        <v>313</v>
      </c>
      <c r="N97">
        <v>313</v>
      </c>
      <c r="O97">
        <v>313</v>
      </c>
      <c r="P97">
        <v>313</v>
      </c>
      <c r="S97">
        <v>314</v>
      </c>
      <c r="T97">
        <v>314.2</v>
      </c>
      <c r="U97" s="17">
        <v>4.1807563400000003</v>
      </c>
      <c r="V97" s="60">
        <v>316</v>
      </c>
      <c r="W97" s="60">
        <v>317</v>
      </c>
      <c r="X97" s="60">
        <v>317</v>
      </c>
      <c r="Y97" s="60">
        <v>316</v>
      </c>
      <c r="Z97" s="60">
        <v>316</v>
      </c>
    </row>
    <row r="98" spans="1:26" x14ac:dyDescent="0.6">
      <c r="A98" s="6" t="s">
        <v>501</v>
      </c>
      <c r="B98" s="10">
        <v>15</v>
      </c>
      <c r="C98" s="12" t="s">
        <v>970</v>
      </c>
      <c r="D98" s="13" t="s">
        <v>976</v>
      </c>
      <c r="E98" s="13" t="s">
        <v>982</v>
      </c>
      <c r="F98" s="10">
        <v>7</v>
      </c>
      <c r="G98" s="10"/>
      <c r="H98" s="1">
        <v>364</v>
      </c>
      <c r="I98" s="1">
        <v>298</v>
      </c>
      <c r="J98" s="1">
        <v>298</v>
      </c>
      <c r="K98" s="2">
        <v>1.51</v>
      </c>
      <c r="L98">
        <v>298</v>
      </c>
      <c r="M98">
        <v>298</v>
      </c>
      <c r="N98">
        <v>298</v>
      </c>
      <c r="O98">
        <v>298</v>
      </c>
      <c r="P98">
        <v>298</v>
      </c>
      <c r="S98">
        <v>298</v>
      </c>
      <c r="T98">
        <v>301</v>
      </c>
      <c r="U98" s="17">
        <v>4.0459864799999998</v>
      </c>
      <c r="V98" s="60">
        <v>307</v>
      </c>
      <c r="W98" s="60">
        <v>309</v>
      </c>
      <c r="X98" s="60">
        <v>307</v>
      </c>
      <c r="Y98" s="60">
        <v>308</v>
      </c>
      <c r="Z98" s="60">
        <v>307</v>
      </c>
    </row>
    <row r="99" spans="1:26" x14ac:dyDescent="0.6">
      <c r="A99" s="6" t="s">
        <v>502</v>
      </c>
      <c r="B99" s="10">
        <v>15</v>
      </c>
      <c r="C99" s="12" t="s">
        <v>970</v>
      </c>
      <c r="D99" s="13" t="s">
        <v>976</v>
      </c>
      <c r="E99" s="13" t="s">
        <v>982</v>
      </c>
      <c r="F99" s="10">
        <v>8</v>
      </c>
      <c r="G99" s="10"/>
      <c r="H99" s="1">
        <v>485</v>
      </c>
      <c r="I99" s="1">
        <v>295</v>
      </c>
      <c r="J99" s="1">
        <v>295</v>
      </c>
      <c r="K99" s="2">
        <v>1.51</v>
      </c>
      <c r="L99">
        <v>295</v>
      </c>
      <c r="M99">
        <v>295</v>
      </c>
      <c r="N99">
        <v>295</v>
      </c>
      <c r="O99">
        <v>295</v>
      </c>
      <c r="P99">
        <v>295</v>
      </c>
      <c r="S99">
        <v>298</v>
      </c>
      <c r="T99">
        <v>299.39999999999998</v>
      </c>
      <c r="U99" s="17">
        <v>4.2207463199999999</v>
      </c>
      <c r="V99" s="60">
        <v>307</v>
      </c>
      <c r="W99" s="60">
        <v>307</v>
      </c>
      <c r="X99" s="60">
        <v>305</v>
      </c>
      <c r="Y99" s="60">
        <v>308</v>
      </c>
      <c r="Z99" s="60">
        <v>307</v>
      </c>
    </row>
    <row r="100" spans="1:26" x14ac:dyDescent="0.6">
      <c r="A100" s="6" t="s">
        <v>503</v>
      </c>
      <c r="B100" s="10">
        <v>15</v>
      </c>
      <c r="C100" s="12" t="s">
        <v>970</v>
      </c>
      <c r="D100" s="13" t="s">
        <v>976</v>
      </c>
      <c r="E100" s="13" t="s">
        <v>982</v>
      </c>
      <c r="F100" s="10">
        <v>9</v>
      </c>
      <c r="G100" s="10"/>
      <c r="H100" s="1">
        <v>353</v>
      </c>
      <c r="I100" s="1">
        <v>290</v>
      </c>
      <c r="J100" s="1">
        <v>290</v>
      </c>
      <c r="K100" s="2">
        <v>1.5</v>
      </c>
      <c r="L100">
        <v>290</v>
      </c>
      <c r="M100">
        <v>290</v>
      </c>
      <c r="N100">
        <v>290</v>
      </c>
      <c r="O100">
        <v>290</v>
      </c>
      <c r="P100">
        <v>290</v>
      </c>
      <c r="S100">
        <v>290</v>
      </c>
      <c r="T100">
        <v>292.39999999999998</v>
      </c>
      <c r="U100" s="17">
        <v>3.9857222600000002</v>
      </c>
      <c r="V100" s="60">
        <v>297</v>
      </c>
      <c r="W100" s="60">
        <v>297</v>
      </c>
      <c r="X100" s="60">
        <v>298</v>
      </c>
      <c r="Y100" s="60">
        <v>297</v>
      </c>
      <c r="Z100" s="60">
        <v>299</v>
      </c>
    </row>
    <row r="101" spans="1:26" x14ac:dyDescent="0.6">
      <c r="A101" s="6" t="s">
        <v>504</v>
      </c>
      <c r="B101" s="10">
        <v>15</v>
      </c>
      <c r="C101" s="12" t="s">
        <v>970</v>
      </c>
      <c r="D101" s="13" t="s">
        <v>976</v>
      </c>
      <c r="E101" s="13" t="s">
        <v>982</v>
      </c>
      <c r="F101" s="10">
        <v>10</v>
      </c>
      <c r="G101" s="10"/>
      <c r="H101" s="1">
        <v>457</v>
      </c>
      <c r="I101" s="1">
        <v>306</v>
      </c>
      <c r="J101" s="1">
        <v>306</v>
      </c>
      <c r="K101" s="2">
        <v>1.51</v>
      </c>
      <c r="L101">
        <v>306</v>
      </c>
      <c r="M101">
        <v>306</v>
      </c>
      <c r="N101">
        <v>306</v>
      </c>
      <c r="O101">
        <v>306</v>
      </c>
      <c r="P101">
        <v>306</v>
      </c>
      <c r="S101">
        <v>309</v>
      </c>
      <c r="T101">
        <v>310.39999999999998</v>
      </c>
      <c r="U101" s="17">
        <v>3.8926572199999998</v>
      </c>
      <c r="V101" s="60">
        <v>315</v>
      </c>
      <c r="W101" s="60">
        <v>316</v>
      </c>
      <c r="X101" s="60">
        <v>315</v>
      </c>
      <c r="Y101" s="60">
        <v>315</v>
      </c>
      <c r="Z101" s="60">
        <v>315</v>
      </c>
    </row>
    <row r="102" spans="1:26" x14ac:dyDescent="0.6">
      <c r="A102" s="6" t="s">
        <v>505</v>
      </c>
      <c r="B102" s="10">
        <v>15</v>
      </c>
      <c r="C102" s="12" t="s">
        <v>970</v>
      </c>
      <c r="D102" s="13" t="s">
        <v>979</v>
      </c>
      <c r="E102" s="13" t="s">
        <v>981</v>
      </c>
      <c r="F102" s="10">
        <v>1</v>
      </c>
      <c r="G102" s="10"/>
      <c r="H102" s="1">
        <v>415</v>
      </c>
      <c r="I102" s="1">
        <v>355</v>
      </c>
      <c r="J102" s="1">
        <v>355</v>
      </c>
      <c r="K102" s="2">
        <v>1.51</v>
      </c>
      <c r="L102">
        <v>355</v>
      </c>
      <c r="M102">
        <v>355</v>
      </c>
      <c r="N102">
        <v>355</v>
      </c>
      <c r="O102">
        <v>355</v>
      </c>
      <c r="P102">
        <v>355</v>
      </c>
      <c r="S102">
        <v>355</v>
      </c>
      <c r="T102">
        <v>357.2</v>
      </c>
      <c r="U102" s="17">
        <v>3.7748326799999998</v>
      </c>
      <c r="V102" s="60">
        <v>358</v>
      </c>
      <c r="W102" s="60">
        <v>360</v>
      </c>
      <c r="X102" s="60">
        <v>356</v>
      </c>
      <c r="Y102" s="60">
        <v>358</v>
      </c>
      <c r="Z102" s="60">
        <v>358</v>
      </c>
    </row>
    <row r="103" spans="1:26" x14ac:dyDescent="0.6">
      <c r="A103" s="6" t="s">
        <v>506</v>
      </c>
      <c r="B103" s="10">
        <v>15</v>
      </c>
      <c r="C103" s="12" t="s">
        <v>970</v>
      </c>
      <c r="D103" s="13" t="s">
        <v>979</v>
      </c>
      <c r="E103" s="13" t="s">
        <v>983</v>
      </c>
      <c r="F103" s="10">
        <v>2</v>
      </c>
      <c r="G103" s="10"/>
      <c r="H103" s="1">
        <v>417</v>
      </c>
      <c r="I103" s="1">
        <v>348</v>
      </c>
      <c r="J103" s="1">
        <v>348</v>
      </c>
      <c r="K103" s="2">
        <v>1.51</v>
      </c>
      <c r="L103">
        <v>348</v>
      </c>
      <c r="M103">
        <v>348</v>
      </c>
      <c r="N103">
        <v>348</v>
      </c>
      <c r="O103">
        <v>348</v>
      </c>
      <c r="P103">
        <v>348</v>
      </c>
      <c r="S103">
        <v>350</v>
      </c>
      <c r="T103">
        <v>351.4</v>
      </c>
      <c r="U103" s="17">
        <v>4.0502802999999998</v>
      </c>
      <c r="V103" s="60">
        <v>352</v>
      </c>
      <c r="W103" s="60">
        <v>351</v>
      </c>
      <c r="X103" s="60">
        <v>352</v>
      </c>
      <c r="Y103" s="60">
        <v>352</v>
      </c>
      <c r="Z103" s="60">
        <v>351</v>
      </c>
    </row>
    <row r="104" spans="1:26" x14ac:dyDescent="0.6">
      <c r="A104" s="6" t="s">
        <v>507</v>
      </c>
      <c r="B104" s="10">
        <v>15</v>
      </c>
      <c r="C104" s="12" t="s">
        <v>970</v>
      </c>
      <c r="D104" s="13" t="s">
        <v>978</v>
      </c>
      <c r="E104" s="13" t="s">
        <v>980</v>
      </c>
      <c r="F104" s="10">
        <v>3</v>
      </c>
      <c r="G104" s="10"/>
      <c r="H104" s="1">
        <v>399</v>
      </c>
      <c r="I104" s="1">
        <v>353</v>
      </c>
      <c r="J104" s="1">
        <v>353</v>
      </c>
      <c r="K104" s="2">
        <v>1.51</v>
      </c>
      <c r="L104">
        <v>353</v>
      </c>
      <c r="M104">
        <v>353</v>
      </c>
      <c r="N104">
        <v>353</v>
      </c>
      <c r="O104">
        <v>353</v>
      </c>
      <c r="P104">
        <v>353</v>
      </c>
      <c r="S104">
        <v>355</v>
      </c>
      <c r="T104">
        <v>356</v>
      </c>
      <c r="U104" s="17">
        <v>3.9294484199999999</v>
      </c>
      <c r="V104" s="60">
        <v>355</v>
      </c>
      <c r="W104" s="60">
        <v>357</v>
      </c>
      <c r="X104" s="60">
        <v>357</v>
      </c>
      <c r="Y104" s="60">
        <v>357</v>
      </c>
      <c r="Z104" s="60">
        <v>357</v>
      </c>
    </row>
    <row r="105" spans="1:26" x14ac:dyDescent="0.6">
      <c r="A105" s="6" t="s">
        <v>508</v>
      </c>
      <c r="B105" s="10">
        <v>15</v>
      </c>
      <c r="C105" s="12" t="s">
        <v>970</v>
      </c>
      <c r="D105" s="13" t="s">
        <v>978</v>
      </c>
      <c r="E105" s="13" t="s">
        <v>980</v>
      </c>
      <c r="F105" s="10">
        <v>4</v>
      </c>
      <c r="G105" s="10"/>
      <c r="H105" s="1">
        <v>404</v>
      </c>
      <c r="I105" s="1">
        <v>366</v>
      </c>
      <c r="J105" s="1">
        <v>366</v>
      </c>
      <c r="K105" s="2">
        <v>1.51</v>
      </c>
      <c r="L105">
        <v>366</v>
      </c>
      <c r="M105">
        <v>366</v>
      </c>
      <c r="N105">
        <v>366</v>
      </c>
      <c r="O105">
        <v>366</v>
      </c>
      <c r="P105">
        <v>366</v>
      </c>
      <c r="S105">
        <v>368</v>
      </c>
      <c r="T105">
        <v>369.6</v>
      </c>
      <c r="U105" s="17">
        <v>4.0415886800000003</v>
      </c>
      <c r="V105" s="60">
        <v>371</v>
      </c>
      <c r="W105" s="60">
        <v>372</v>
      </c>
      <c r="X105" s="60">
        <v>371</v>
      </c>
      <c r="Y105" s="60">
        <v>369</v>
      </c>
      <c r="Z105" s="60">
        <v>369</v>
      </c>
    </row>
    <row r="106" spans="1:26" x14ac:dyDescent="0.6">
      <c r="A106" s="6" t="s">
        <v>509</v>
      </c>
      <c r="B106" s="10">
        <v>15</v>
      </c>
      <c r="C106" s="12" t="s">
        <v>970</v>
      </c>
      <c r="D106" s="13" t="s">
        <v>978</v>
      </c>
      <c r="E106" s="13" t="s">
        <v>980</v>
      </c>
      <c r="F106" s="10">
        <v>5</v>
      </c>
      <c r="G106" s="10"/>
      <c r="H106" s="1">
        <v>395</v>
      </c>
      <c r="I106" s="1">
        <v>351</v>
      </c>
      <c r="J106" s="1">
        <v>351</v>
      </c>
      <c r="K106" s="2">
        <v>1.51</v>
      </c>
      <c r="L106">
        <v>351</v>
      </c>
      <c r="M106">
        <v>351</v>
      </c>
      <c r="N106">
        <v>351</v>
      </c>
      <c r="O106">
        <v>351</v>
      </c>
      <c r="P106">
        <v>351</v>
      </c>
      <c r="S106">
        <v>352</v>
      </c>
      <c r="T106">
        <v>353.6</v>
      </c>
      <c r="U106" s="17">
        <v>4.3302417599999998</v>
      </c>
      <c r="V106" s="60">
        <v>357</v>
      </c>
      <c r="W106" s="60">
        <v>356</v>
      </c>
      <c r="X106" s="60">
        <v>354</v>
      </c>
      <c r="Y106" s="60">
        <v>356</v>
      </c>
      <c r="Z106" s="60">
        <v>356</v>
      </c>
    </row>
    <row r="107" spans="1:26" x14ac:dyDescent="0.6">
      <c r="A107" s="6" t="s">
        <v>510</v>
      </c>
      <c r="B107" s="10">
        <v>15</v>
      </c>
      <c r="C107" s="12" t="s">
        <v>970</v>
      </c>
      <c r="D107" s="13" t="s">
        <v>978</v>
      </c>
      <c r="E107" s="13" t="s">
        <v>980</v>
      </c>
      <c r="F107" s="10">
        <v>6</v>
      </c>
      <c r="G107" s="10"/>
      <c r="H107" s="1">
        <v>420</v>
      </c>
      <c r="I107" s="1">
        <v>380</v>
      </c>
      <c r="J107" s="1">
        <v>380</v>
      </c>
      <c r="K107" s="2">
        <v>1.51</v>
      </c>
      <c r="L107">
        <v>380</v>
      </c>
      <c r="M107">
        <v>380</v>
      </c>
      <c r="N107">
        <v>380</v>
      </c>
      <c r="O107">
        <v>380</v>
      </c>
      <c r="P107">
        <v>380</v>
      </c>
      <c r="S107">
        <v>380</v>
      </c>
      <c r="T107">
        <v>383</v>
      </c>
      <c r="U107" s="17">
        <v>4.18575768</v>
      </c>
      <c r="V107" s="60">
        <v>385</v>
      </c>
      <c r="W107" s="60">
        <v>385</v>
      </c>
      <c r="X107" s="60">
        <v>386</v>
      </c>
      <c r="Y107" s="60">
        <v>386</v>
      </c>
      <c r="Z107" s="60">
        <v>384</v>
      </c>
    </row>
    <row r="108" spans="1:26" x14ac:dyDescent="0.6">
      <c r="A108" s="6" t="s">
        <v>511</v>
      </c>
      <c r="B108" s="10">
        <v>15</v>
      </c>
      <c r="C108" s="12" t="s">
        <v>970</v>
      </c>
      <c r="D108" s="13" t="s">
        <v>978</v>
      </c>
      <c r="E108" s="13" t="s">
        <v>980</v>
      </c>
      <c r="F108" s="10">
        <v>7</v>
      </c>
      <c r="G108" s="10"/>
      <c r="H108" s="1">
        <v>409</v>
      </c>
      <c r="I108" s="1">
        <v>368</v>
      </c>
      <c r="J108" s="1">
        <v>368</v>
      </c>
      <c r="K108" s="2">
        <v>1.51</v>
      </c>
      <c r="L108">
        <v>368</v>
      </c>
      <c r="M108">
        <v>368</v>
      </c>
      <c r="N108">
        <v>368</v>
      </c>
      <c r="O108">
        <v>368</v>
      </c>
      <c r="P108">
        <v>368</v>
      </c>
      <c r="S108">
        <v>370</v>
      </c>
      <c r="T108">
        <v>371.8</v>
      </c>
      <c r="U108" s="17">
        <v>4.2440705799999998</v>
      </c>
      <c r="V108" s="60">
        <v>375</v>
      </c>
      <c r="W108" s="60">
        <v>377</v>
      </c>
      <c r="X108" s="60">
        <v>375</v>
      </c>
      <c r="Y108" s="60">
        <v>376</v>
      </c>
      <c r="Z108" s="60">
        <v>375</v>
      </c>
    </row>
    <row r="109" spans="1:26" x14ac:dyDescent="0.6">
      <c r="A109" s="6" t="s">
        <v>512</v>
      </c>
      <c r="B109" s="10">
        <v>15</v>
      </c>
      <c r="C109" s="12" t="s">
        <v>970</v>
      </c>
      <c r="D109" s="13" t="s">
        <v>978</v>
      </c>
      <c r="E109" s="13" t="s">
        <v>980</v>
      </c>
      <c r="F109" s="10">
        <v>8</v>
      </c>
      <c r="G109" s="10"/>
      <c r="H109" s="1">
        <v>455</v>
      </c>
      <c r="I109" s="1">
        <v>363</v>
      </c>
      <c r="J109" s="1">
        <v>363</v>
      </c>
      <c r="K109" s="2">
        <v>1.51</v>
      </c>
      <c r="L109">
        <v>363</v>
      </c>
      <c r="M109">
        <v>363</v>
      </c>
      <c r="N109">
        <v>363</v>
      </c>
      <c r="O109">
        <v>363</v>
      </c>
      <c r="P109">
        <v>363</v>
      </c>
      <c r="S109">
        <v>364</v>
      </c>
      <c r="T109">
        <v>365.8</v>
      </c>
      <c r="U109" s="17">
        <v>4.3614389400000002</v>
      </c>
      <c r="V109" s="60">
        <v>370</v>
      </c>
      <c r="W109" s="60">
        <v>369</v>
      </c>
      <c r="X109" s="60">
        <v>367</v>
      </c>
      <c r="Y109" s="60">
        <v>370</v>
      </c>
      <c r="Z109" s="60">
        <v>371</v>
      </c>
    </row>
    <row r="110" spans="1:26" x14ac:dyDescent="0.6">
      <c r="A110" s="6" t="s">
        <v>513</v>
      </c>
      <c r="B110" s="10">
        <v>15</v>
      </c>
      <c r="C110" s="12" t="s">
        <v>970</v>
      </c>
      <c r="D110" s="13" t="s">
        <v>978</v>
      </c>
      <c r="E110" s="13" t="s">
        <v>980</v>
      </c>
      <c r="F110" s="10">
        <v>9</v>
      </c>
      <c r="G110" s="10"/>
      <c r="H110" s="1">
        <v>393</v>
      </c>
      <c r="I110" s="1">
        <v>360</v>
      </c>
      <c r="J110" s="1">
        <v>360</v>
      </c>
      <c r="K110" s="2">
        <v>1.51</v>
      </c>
      <c r="L110">
        <v>360</v>
      </c>
      <c r="M110">
        <v>360</v>
      </c>
      <c r="N110">
        <v>360</v>
      </c>
      <c r="O110">
        <v>360</v>
      </c>
      <c r="P110">
        <v>360</v>
      </c>
      <c r="S110">
        <v>360</v>
      </c>
      <c r="T110">
        <v>361.6</v>
      </c>
      <c r="U110" s="17">
        <v>3.94801534</v>
      </c>
      <c r="V110" s="60">
        <v>365</v>
      </c>
      <c r="W110" s="60">
        <v>364</v>
      </c>
      <c r="X110" s="60">
        <v>363</v>
      </c>
      <c r="Y110" s="60">
        <v>365</v>
      </c>
      <c r="Z110" s="60">
        <v>365</v>
      </c>
    </row>
    <row r="111" spans="1:26" x14ac:dyDescent="0.6">
      <c r="A111" s="6" t="s">
        <v>514</v>
      </c>
      <c r="B111" s="10">
        <v>15</v>
      </c>
      <c r="C111" s="12" t="s">
        <v>970</v>
      </c>
      <c r="D111" s="13" t="s">
        <v>978</v>
      </c>
      <c r="E111" s="13" t="s">
        <v>980</v>
      </c>
      <c r="F111" s="10">
        <v>10</v>
      </c>
      <c r="G111" s="10"/>
      <c r="H111" s="1">
        <v>443</v>
      </c>
      <c r="I111" s="1">
        <v>376</v>
      </c>
      <c r="J111" s="1">
        <v>376</v>
      </c>
      <c r="K111" s="2">
        <v>1.51</v>
      </c>
      <c r="L111">
        <v>376</v>
      </c>
      <c r="M111">
        <v>376</v>
      </c>
      <c r="N111">
        <v>376</v>
      </c>
      <c r="O111">
        <v>376</v>
      </c>
      <c r="P111">
        <v>376</v>
      </c>
      <c r="S111">
        <v>380</v>
      </c>
      <c r="T111">
        <v>380.6</v>
      </c>
      <c r="U111" s="17">
        <v>3.8949386600000002</v>
      </c>
      <c r="V111" s="60">
        <v>382</v>
      </c>
      <c r="W111" s="60">
        <v>382</v>
      </c>
      <c r="X111" s="60">
        <v>382</v>
      </c>
      <c r="Y111" s="60">
        <v>381</v>
      </c>
      <c r="Z111" s="60">
        <v>381</v>
      </c>
    </row>
    <row r="112" spans="1:26" x14ac:dyDescent="0.6">
      <c r="A112" s="6" t="s">
        <v>515</v>
      </c>
      <c r="B112" s="10">
        <v>15</v>
      </c>
      <c r="C112" s="12" t="s">
        <v>970</v>
      </c>
      <c r="D112" s="13" t="s">
        <v>978</v>
      </c>
      <c r="E112" s="13" t="s">
        <v>984</v>
      </c>
      <c r="F112" s="10">
        <v>1</v>
      </c>
      <c r="G112" s="10"/>
      <c r="H112" s="1">
        <v>455</v>
      </c>
      <c r="I112" s="1">
        <v>355</v>
      </c>
      <c r="J112" s="1">
        <v>355</v>
      </c>
      <c r="K112" s="2">
        <v>1.51</v>
      </c>
      <c r="L112">
        <v>355</v>
      </c>
      <c r="M112">
        <v>355</v>
      </c>
      <c r="N112">
        <v>355</v>
      </c>
      <c r="O112">
        <v>355</v>
      </c>
      <c r="P112">
        <v>355</v>
      </c>
      <c r="S112">
        <v>356</v>
      </c>
      <c r="T112">
        <v>356.6</v>
      </c>
      <c r="U112" s="17">
        <v>3.77532406</v>
      </c>
      <c r="V112" s="60">
        <v>357</v>
      </c>
      <c r="W112" s="60">
        <v>357</v>
      </c>
      <c r="X112" s="60">
        <v>359</v>
      </c>
      <c r="Y112" s="60">
        <v>360</v>
      </c>
      <c r="Z112" s="60">
        <v>359</v>
      </c>
    </row>
    <row r="113" spans="1:26" x14ac:dyDescent="0.6">
      <c r="A113" s="6" t="s">
        <v>516</v>
      </c>
      <c r="B113" s="10">
        <v>15</v>
      </c>
      <c r="C113" s="12" t="s">
        <v>970</v>
      </c>
      <c r="D113" s="13" t="s">
        <v>978</v>
      </c>
      <c r="E113" s="13" t="s">
        <v>985</v>
      </c>
      <c r="F113" s="10">
        <v>2</v>
      </c>
      <c r="G113" s="10"/>
      <c r="H113" s="1">
        <v>477</v>
      </c>
      <c r="I113" s="1">
        <v>348</v>
      </c>
      <c r="J113" s="1">
        <v>348</v>
      </c>
      <c r="K113" s="2">
        <v>1.51</v>
      </c>
      <c r="L113">
        <v>348</v>
      </c>
      <c r="M113">
        <v>348</v>
      </c>
      <c r="N113">
        <v>348</v>
      </c>
      <c r="O113">
        <v>348</v>
      </c>
      <c r="P113">
        <v>348</v>
      </c>
      <c r="S113">
        <v>349</v>
      </c>
      <c r="T113">
        <v>352</v>
      </c>
      <c r="U113" s="17">
        <v>3.9855906800000001</v>
      </c>
      <c r="V113" s="60">
        <v>353</v>
      </c>
      <c r="W113" s="60">
        <v>354</v>
      </c>
      <c r="X113" s="60">
        <v>353</v>
      </c>
      <c r="Y113" s="60">
        <v>354</v>
      </c>
      <c r="Z113" s="60">
        <v>352</v>
      </c>
    </row>
    <row r="114" spans="1:26" x14ac:dyDescent="0.6">
      <c r="A114" s="6" t="s">
        <v>517</v>
      </c>
      <c r="B114" s="10">
        <v>15</v>
      </c>
      <c r="C114" s="12" t="s">
        <v>970</v>
      </c>
      <c r="D114" s="13" t="s">
        <v>978</v>
      </c>
      <c r="E114" s="13" t="s">
        <v>982</v>
      </c>
      <c r="F114" s="10">
        <v>3</v>
      </c>
      <c r="G114" s="10"/>
      <c r="H114" s="1">
        <v>439</v>
      </c>
      <c r="I114" s="1">
        <v>354</v>
      </c>
      <c r="J114" s="1">
        <v>354</v>
      </c>
      <c r="K114" s="2">
        <v>1.51</v>
      </c>
      <c r="L114">
        <v>354</v>
      </c>
      <c r="M114">
        <v>354</v>
      </c>
      <c r="N114">
        <v>354</v>
      </c>
      <c r="O114">
        <v>354</v>
      </c>
      <c r="P114">
        <v>354</v>
      </c>
      <c r="S114">
        <v>355</v>
      </c>
      <c r="T114">
        <v>356.8</v>
      </c>
      <c r="U114" s="17">
        <v>3.90084732</v>
      </c>
      <c r="V114" s="60">
        <v>359</v>
      </c>
      <c r="W114" s="60">
        <v>357</v>
      </c>
      <c r="X114" s="60">
        <v>358</v>
      </c>
      <c r="Y114" s="60">
        <v>357</v>
      </c>
      <c r="Z114" s="60">
        <v>358</v>
      </c>
    </row>
    <row r="115" spans="1:26" x14ac:dyDescent="0.6">
      <c r="A115" s="6" t="s">
        <v>518</v>
      </c>
      <c r="B115" s="10">
        <v>15</v>
      </c>
      <c r="C115" s="12" t="s">
        <v>970</v>
      </c>
      <c r="D115" s="13" t="s">
        <v>978</v>
      </c>
      <c r="E115" s="13" t="s">
        <v>982</v>
      </c>
      <c r="F115" s="10">
        <v>4</v>
      </c>
      <c r="G115" s="10"/>
      <c r="H115" s="1">
        <v>447</v>
      </c>
      <c r="I115" s="1">
        <v>366</v>
      </c>
      <c r="J115" s="1">
        <v>366</v>
      </c>
      <c r="K115" s="2">
        <v>1.51</v>
      </c>
      <c r="L115">
        <v>366</v>
      </c>
      <c r="M115">
        <v>366</v>
      </c>
      <c r="N115">
        <v>366</v>
      </c>
      <c r="O115">
        <v>366</v>
      </c>
      <c r="P115">
        <v>366</v>
      </c>
      <c r="S115">
        <v>367</v>
      </c>
      <c r="T115">
        <v>369.8</v>
      </c>
      <c r="U115" s="17">
        <v>4.1183384199999997</v>
      </c>
      <c r="V115" s="60">
        <v>371</v>
      </c>
      <c r="W115" s="60">
        <v>373</v>
      </c>
      <c r="X115" s="60">
        <v>370</v>
      </c>
      <c r="Y115" s="60">
        <v>371</v>
      </c>
      <c r="Z115" s="60">
        <v>373</v>
      </c>
    </row>
    <row r="116" spans="1:26" x14ac:dyDescent="0.6">
      <c r="A116" s="6" t="s">
        <v>519</v>
      </c>
      <c r="B116" s="10">
        <v>15</v>
      </c>
      <c r="C116" s="12" t="s">
        <v>970</v>
      </c>
      <c r="D116" s="13" t="s">
        <v>978</v>
      </c>
      <c r="E116" s="13" t="s">
        <v>982</v>
      </c>
      <c r="F116" s="10">
        <v>5</v>
      </c>
      <c r="G116" s="10"/>
      <c r="H116" s="1">
        <v>435</v>
      </c>
      <c r="I116" s="1">
        <v>352</v>
      </c>
      <c r="J116" s="1">
        <v>352</v>
      </c>
      <c r="K116" s="2">
        <v>1.51</v>
      </c>
      <c r="L116">
        <v>352</v>
      </c>
      <c r="M116">
        <v>352</v>
      </c>
      <c r="N116">
        <v>352</v>
      </c>
      <c r="O116">
        <v>352</v>
      </c>
      <c r="P116">
        <v>352</v>
      </c>
      <c r="S116">
        <v>352</v>
      </c>
      <c r="T116">
        <v>356</v>
      </c>
      <c r="U116" s="17">
        <v>4.4292729599999996</v>
      </c>
      <c r="V116" s="60">
        <v>361</v>
      </c>
      <c r="W116" s="60">
        <v>360</v>
      </c>
      <c r="X116" s="60">
        <v>364</v>
      </c>
      <c r="Y116" s="60">
        <v>365</v>
      </c>
      <c r="Z116" s="60">
        <v>362</v>
      </c>
    </row>
    <row r="117" spans="1:26" x14ac:dyDescent="0.6">
      <c r="A117" s="6" t="s">
        <v>520</v>
      </c>
      <c r="B117" s="10">
        <v>15</v>
      </c>
      <c r="C117" s="12" t="s">
        <v>970</v>
      </c>
      <c r="D117" s="13" t="s">
        <v>978</v>
      </c>
      <c r="E117" s="13" t="s">
        <v>982</v>
      </c>
      <c r="F117" s="10">
        <v>6</v>
      </c>
      <c r="G117" s="10"/>
      <c r="H117" s="1">
        <v>440</v>
      </c>
      <c r="I117" s="1">
        <v>382</v>
      </c>
      <c r="J117" s="1">
        <v>382</v>
      </c>
      <c r="K117" s="2">
        <v>1.51</v>
      </c>
      <c r="L117">
        <v>382</v>
      </c>
      <c r="M117">
        <v>382</v>
      </c>
      <c r="N117">
        <v>382</v>
      </c>
      <c r="O117">
        <v>382</v>
      </c>
      <c r="P117">
        <v>382</v>
      </c>
      <c r="S117">
        <v>384</v>
      </c>
      <c r="T117">
        <v>385.8</v>
      </c>
      <c r="U117" s="17">
        <v>4.2223383600000002</v>
      </c>
      <c r="V117" s="60">
        <v>385</v>
      </c>
      <c r="W117" s="60">
        <v>387</v>
      </c>
      <c r="X117" s="60">
        <v>385</v>
      </c>
      <c r="Y117" s="60">
        <v>387</v>
      </c>
      <c r="Z117" s="60">
        <v>388</v>
      </c>
    </row>
    <row r="118" spans="1:26" x14ac:dyDescent="0.6">
      <c r="A118" s="6" t="s">
        <v>521</v>
      </c>
      <c r="B118" s="10">
        <v>15</v>
      </c>
      <c r="C118" s="12" t="s">
        <v>970</v>
      </c>
      <c r="D118" s="13" t="s">
        <v>978</v>
      </c>
      <c r="E118" s="13" t="s">
        <v>982</v>
      </c>
      <c r="F118" s="10">
        <v>7</v>
      </c>
      <c r="G118" s="10"/>
      <c r="H118" s="1">
        <v>429</v>
      </c>
      <c r="I118" s="1">
        <v>368</v>
      </c>
      <c r="J118" s="1">
        <v>368</v>
      </c>
      <c r="K118" s="2">
        <v>1.51</v>
      </c>
      <c r="L118">
        <v>368</v>
      </c>
      <c r="M118">
        <v>368</v>
      </c>
      <c r="N118">
        <v>368</v>
      </c>
      <c r="O118">
        <v>368</v>
      </c>
      <c r="P118">
        <v>368</v>
      </c>
      <c r="S118">
        <v>368</v>
      </c>
      <c r="T118">
        <v>370.2</v>
      </c>
      <c r="U118" s="17">
        <v>3.9009244399999998</v>
      </c>
      <c r="V118" s="60">
        <v>378</v>
      </c>
      <c r="W118" s="60">
        <v>378</v>
      </c>
      <c r="X118" s="60">
        <v>379</v>
      </c>
      <c r="Y118" s="60">
        <v>376</v>
      </c>
      <c r="Z118" s="60">
        <v>376</v>
      </c>
    </row>
    <row r="119" spans="1:26" x14ac:dyDescent="0.6">
      <c r="A119" s="6" t="s">
        <v>522</v>
      </c>
      <c r="B119" s="10">
        <v>15</v>
      </c>
      <c r="C119" s="12" t="s">
        <v>970</v>
      </c>
      <c r="D119" s="13" t="s">
        <v>978</v>
      </c>
      <c r="E119" s="13" t="s">
        <v>982</v>
      </c>
      <c r="F119" s="10">
        <v>8</v>
      </c>
      <c r="G119" s="10"/>
      <c r="H119" s="1">
        <v>535</v>
      </c>
      <c r="I119" s="1">
        <v>364</v>
      </c>
      <c r="J119" s="1">
        <v>364</v>
      </c>
      <c r="K119" s="2">
        <v>1.51</v>
      </c>
      <c r="L119">
        <v>364</v>
      </c>
      <c r="M119">
        <v>364</v>
      </c>
      <c r="N119">
        <v>364</v>
      </c>
      <c r="O119">
        <v>364</v>
      </c>
      <c r="P119">
        <v>364</v>
      </c>
      <c r="S119">
        <v>366</v>
      </c>
      <c r="T119">
        <v>368.4</v>
      </c>
      <c r="U119" s="17">
        <v>4.3442854200000003</v>
      </c>
      <c r="V119" s="60">
        <v>374</v>
      </c>
      <c r="W119" s="60">
        <v>376</v>
      </c>
      <c r="X119" s="60">
        <v>377</v>
      </c>
      <c r="Y119" s="60">
        <v>373</v>
      </c>
      <c r="Z119" s="60">
        <v>373</v>
      </c>
    </row>
    <row r="120" spans="1:26" x14ac:dyDescent="0.6">
      <c r="A120" s="6" t="s">
        <v>523</v>
      </c>
      <c r="B120" s="10">
        <v>15</v>
      </c>
      <c r="C120" s="12" t="s">
        <v>970</v>
      </c>
      <c r="D120" s="13" t="s">
        <v>978</v>
      </c>
      <c r="E120" s="13" t="s">
        <v>982</v>
      </c>
      <c r="F120" s="10">
        <v>9</v>
      </c>
      <c r="G120" s="10"/>
      <c r="H120" s="1">
        <v>413</v>
      </c>
      <c r="I120" s="1">
        <v>360</v>
      </c>
      <c r="J120" s="1">
        <v>360</v>
      </c>
      <c r="K120" s="2">
        <v>1.51</v>
      </c>
      <c r="L120">
        <v>360</v>
      </c>
      <c r="M120">
        <v>360</v>
      </c>
      <c r="N120">
        <v>360</v>
      </c>
      <c r="O120">
        <v>360</v>
      </c>
      <c r="P120">
        <v>360</v>
      </c>
      <c r="S120">
        <v>360</v>
      </c>
      <c r="T120">
        <v>361.8</v>
      </c>
      <c r="U120" s="17">
        <v>3.9046527800000002</v>
      </c>
      <c r="V120" s="60">
        <v>365</v>
      </c>
      <c r="W120" s="60">
        <v>366</v>
      </c>
      <c r="X120" s="60">
        <v>365</v>
      </c>
      <c r="Y120" s="60">
        <v>367</v>
      </c>
      <c r="Z120" s="60">
        <v>367</v>
      </c>
    </row>
    <row r="121" spans="1:26" x14ac:dyDescent="0.6">
      <c r="A121" s="6" t="s">
        <v>524</v>
      </c>
      <c r="B121" s="10">
        <v>15</v>
      </c>
      <c r="C121" s="12" t="s">
        <v>970</v>
      </c>
      <c r="D121" s="13" t="s">
        <v>978</v>
      </c>
      <c r="E121" s="13" t="s">
        <v>982</v>
      </c>
      <c r="F121" s="10">
        <v>10</v>
      </c>
      <c r="G121" s="10"/>
      <c r="H121" s="1">
        <v>503</v>
      </c>
      <c r="I121" s="1">
        <v>376</v>
      </c>
      <c r="J121" s="1">
        <v>376</v>
      </c>
      <c r="K121" s="2">
        <v>1.51</v>
      </c>
      <c r="L121">
        <v>376</v>
      </c>
      <c r="M121">
        <v>376</v>
      </c>
      <c r="N121">
        <v>376</v>
      </c>
      <c r="O121">
        <v>376</v>
      </c>
      <c r="P121">
        <v>376</v>
      </c>
      <c r="S121">
        <v>377</v>
      </c>
      <c r="T121">
        <v>379</v>
      </c>
      <c r="U121" s="17">
        <v>4.4733948799999999</v>
      </c>
      <c r="V121" s="60">
        <v>382</v>
      </c>
      <c r="W121" s="60">
        <v>383</v>
      </c>
      <c r="X121" s="60">
        <v>383</v>
      </c>
      <c r="Y121" s="60">
        <v>380</v>
      </c>
      <c r="Z121" s="60">
        <v>384</v>
      </c>
    </row>
    <row r="122" spans="1:26" x14ac:dyDescent="0.6">
      <c r="A122" s="6" t="s">
        <v>525</v>
      </c>
      <c r="B122" s="10">
        <v>15</v>
      </c>
      <c r="C122" s="13" t="s">
        <v>974</v>
      </c>
      <c r="D122" s="13" t="s">
        <v>977</v>
      </c>
      <c r="E122" s="13" t="s">
        <v>981</v>
      </c>
      <c r="F122" s="10">
        <v>1</v>
      </c>
      <c r="G122" s="10"/>
      <c r="H122" s="1">
        <v>505</v>
      </c>
      <c r="I122" s="1">
        <v>435</v>
      </c>
      <c r="J122" s="1">
        <v>435</v>
      </c>
      <c r="K122" s="2">
        <v>1.51</v>
      </c>
      <c r="L122">
        <v>435</v>
      </c>
      <c r="M122">
        <v>435</v>
      </c>
      <c r="N122">
        <v>435</v>
      </c>
      <c r="O122">
        <v>435</v>
      </c>
      <c r="P122">
        <v>435</v>
      </c>
      <c r="S122">
        <v>435</v>
      </c>
      <c r="T122">
        <v>436.8</v>
      </c>
      <c r="U122" s="17">
        <v>3.9434786000000002</v>
      </c>
      <c r="V122" s="60">
        <v>440</v>
      </c>
      <c r="W122" s="60">
        <v>438</v>
      </c>
      <c r="X122" s="60">
        <v>438</v>
      </c>
      <c r="Y122" s="60">
        <v>436</v>
      </c>
      <c r="Z122" s="60">
        <v>439</v>
      </c>
    </row>
    <row r="123" spans="1:26" x14ac:dyDescent="0.6">
      <c r="A123" s="6" t="s">
        <v>526</v>
      </c>
      <c r="B123" s="10">
        <v>15</v>
      </c>
      <c r="C123" s="13" t="s">
        <v>975</v>
      </c>
      <c r="D123" s="13" t="s">
        <v>977</v>
      </c>
      <c r="E123" s="13" t="s">
        <v>983</v>
      </c>
      <c r="F123" s="10">
        <v>2</v>
      </c>
      <c r="G123" s="10"/>
      <c r="H123" s="1">
        <v>512</v>
      </c>
      <c r="I123" s="1">
        <v>428</v>
      </c>
      <c r="J123" s="1">
        <v>428</v>
      </c>
      <c r="K123" s="2">
        <v>1.51</v>
      </c>
      <c r="L123">
        <v>428</v>
      </c>
      <c r="M123">
        <v>428</v>
      </c>
      <c r="N123">
        <v>428</v>
      </c>
      <c r="O123">
        <v>428</v>
      </c>
      <c r="P123">
        <v>428</v>
      </c>
      <c r="S123">
        <v>428</v>
      </c>
      <c r="T123">
        <v>429.4</v>
      </c>
      <c r="U123" s="17">
        <v>3.8944350600000002</v>
      </c>
      <c r="V123" s="60">
        <v>433</v>
      </c>
      <c r="W123" s="60">
        <v>432</v>
      </c>
      <c r="X123" s="60">
        <v>433</v>
      </c>
      <c r="Y123" s="60">
        <v>432</v>
      </c>
      <c r="Z123" s="60">
        <v>432</v>
      </c>
    </row>
    <row r="124" spans="1:26" x14ac:dyDescent="0.6">
      <c r="A124" s="6" t="s">
        <v>527</v>
      </c>
      <c r="B124" s="10">
        <v>15</v>
      </c>
      <c r="C124" s="13" t="s">
        <v>973</v>
      </c>
      <c r="D124" s="13" t="s">
        <v>976</v>
      </c>
      <c r="E124" s="13" t="s">
        <v>980</v>
      </c>
      <c r="F124" s="10">
        <v>3</v>
      </c>
      <c r="G124" s="10"/>
      <c r="H124" s="1">
        <v>489</v>
      </c>
      <c r="I124" s="1">
        <v>433</v>
      </c>
      <c r="J124" s="1">
        <v>433</v>
      </c>
      <c r="K124" s="2">
        <v>1.51</v>
      </c>
      <c r="L124">
        <v>433</v>
      </c>
      <c r="M124">
        <v>433</v>
      </c>
      <c r="N124">
        <v>433</v>
      </c>
      <c r="O124">
        <v>433</v>
      </c>
      <c r="P124">
        <v>433</v>
      </c>
      <c r="S124">
        <v>434</v>
      </c>
      <c r="T124">
        <v>435.4</v>
      </c>
      <c r="U124" s="17">
        <v>4.0172387399999998</v>
      </c>
      <c r="V124" s="60">
        <v>438</v>
      </c>
      <c r="W124" s="60">
        <v>437</v>
      </c>
      <c r="X124" s="60">
        <v>436</v>
      </c>
      <c r="Y124" s="60">
        <v>438</v>
      </c>
      <c r="Z124" s="60">
        <v>435</v>
      </c>
    </row>
    <row r="125" spans="1:26" x14ac:dyDescent="0.6">
      <c r="A125" s="6" t="s">
        <v>528</v>
      </c>
      <c r="B125" s="10">
        <v>15</v>
      </c>
      <c r="C125" s="13" t="s">
        <v>973</v>
      </c>
      <c r="D125" s="13" t="s">
        <v>976</v>
      </c>
      <c r="E125" s="13" t="s">
        <v>980</v>
      </c>
      <c r="F125" s="10">
        <v>4</v>
      </c>
      <c r="G125" s="10"/>
      <c r="H125" s="1">
        <v>489</v>
      </c>
      <c r="I125" s="1">
        <v>446</v>
      </c>
      <c r="J125" s="1">
        <v>446</v>
      </c>
      <c r="K125" s="2">
        <v>1.51</v>
      </c>
      <c r="L125">
        <v>446</v>
      </c>
      <c r="M125">
        <v>446</v>
      </c>
      <c r="N125">
        <v>446</v>
      </c>
      <c r="O125">
        <v>446</v>
      </c>
      <c r="P125">
        <v>446</v>
      </c>
      <c r="S125">
        <v>446</v>
      </c>
      <c r="T125">
        <v>447.2</v>
      </c>
      <c r="U125" s="17">
        <v>4.1382926400000004</v>
      </c>
      <c r="V125" s="60">
        <v>450</v>
      </c>
      <c r="W125" s="60">
        <v>451</v>
      </c>
      <c r="X125" s="60">
        <v>449</v>
      </c>
      <c r="Y125" s="60">
        <v>449</v>
      </c>
      <c r="Z125" s="60">
        <v>451</v>
      </c>
    </row>
    <row r="126" spans="1:26" x14ac:dyDescent="0.6">
      <c r="A126" s="6" t="s">
        <v>529</v>
      </c>
      <c r="B126" s="10">
        <v>15</v>
      </c>
      <c r="C126" s="13" t="s">
        <v>973</v>
      </c>
      <c r="D126" s="13" t="s">
        <v>976</v>
      </c>
      <c r="E126" s="13" t="s">
        <v>980</v>
      </c>
      <c r="F126" s="10">
        <v>5</v>
      </c>
      <c r="G126" s="10"/>
      <c r="H126" s="1">
        <v>485</v>
      </c>
      <c r="I126" s="1">
        <v>431</v>
      </c>
      <c r="J126" s="1">
        <v>431</v>
      </c>
      <c r="K126" s="2">
        <v>1.51</v>
      </c>
      <c r="L126">
        <v>431</v>
      </c>
      <c r="M126">
        <v>431</v>
      </c>
      <c r="N126">
        <v>431</v>
      </c>
      <c r="O126">
        <v>431</v>
      </c>
      <c r="P126">
        <v>431</v>
      </c>
      <c r="S126">
        <v>434</v>
      </c>
      <c r="T126">
        <v>435.6</v>
      </c>
      <c r="U126" s="17">
        <v>4.3979105399999998</v>
      </c>
      <c r="V126" s="60">
        <v>437</v>
      </c>
      <c r="W126" s="60">
        <v>436</v>
      </c>
      <c r="X126" s="60">
        <v>438</v>
      </c>
      <c r="Y126" s="60">
        <v>434</v>
      </c>
      <c r="Z126" s="60">
        <v>434</v>
      </c>
    </row>
    <row r="127" spans="1:26" x14ac:dyDescent="0.6">
      <c r="A127" s="6" t="s">
        <v>530</v>
      </c>
      <c r="B127" s="10">
        <v>15</v>
      </c>
      <c r="C127" s="13" t="s">
        <v>973</v>
      </c>
      <c r="D127" s="13" t="s">
        <v>976</v>
      </c>
      <c r="E127" s="13" t="s">
        <v>980</v>
      </c>
      <c r="F127" s="10">
        <v>6</v>
      </c>
      <c r="G127" s="10"/>
      <c r="H127" s="1">
        <v>505</v>
      </c>
      <c r="I127" s="1">
        <v>460</v>
      </c>
      <c r="J127" s="1">
        <v>460</v>
      </c>
      <c r="K127" s="2">
        <v>1.5</v>
      </c>
      <c r="L127">
        <v>460</v>
      </c>
      <c r="M127">
        <v>460</v>
      </c>
      <c r="N127">
        <v>460</v>
      </c>
      <c r="O127">
        <v>460</v>
      </c>
      <c r="P127">
        <v>460</v>
      </c>
      <c r="S127">
        <v>460</v>
      </c>
      <c r="T127">
        <v>462.8</v>
      </c>
      <c r="U127" s="17">
        <v>4.2276049799999997</v>
      </c>
      <c r="V127" s="60">
        <v>464</v>
      </c>
      <c r="W127" s="60">
        <v>464</v>
      </c>
      <c r="X127" s="60">
        <v>466</v>
      </c>
      <c r="Y127" s="60">
        <v>465</v>
      </c>
      <c r="Z127" s="60">
        <v>465</v>
      </c>
    </row>
    <row r="128" spans="1:26" x14ac:dyDescent="0.6">
      <c r="A128" s="6" t="s">
        <v>531</v>
      </c>
      <c r="B128" s="10">
        <v>15</v>
      </c>
      <c r="C128" s="13" t="s">
        <v>973</v>
      </c>
      <c r="D128" s="13" t="s">
        <v>976</v>
      </c>
      <c r="E128" s="13" t="s">
        <v>980</v>
      </c>
      <c r="F128" s="10">
        <v>7</v>
      </c>
      <c r="G128" s="10"/>
      <c r="H128" s="1">
        <v>494</v>
      </c>
      <c r="I128" s="1">
        <v>448</v>
      </c>
      <c r="J128" s="1">
        <v>448</v>
      </c>
      <c r="K128" s="2">
        <v>1.51</v>
      </c>
      <c r="L128">
        <v>448</v>
      </c>
      <c r="M128">
        <v>448</v>
      </c>
      <c r="N128">
        <v>448</v>
      </c>
      <c r="O128">
        <v>448</v>
      </c>
      <c r="P128">
        <v>448</v>
      </c>
      <c r="S128">
        <v>448</v>
      </c>
      <c r="T128">
        <v>451</v>
      </c>
      <c r="U128" s="17">
        <v>4.0988141599999999</v>
      </c>
      <c r="V128" s="60">
        <v>456</v>
      </c>
      <c r="W128" s="60">
        <v>455</v>
      </c>
      <c r="X128" s="60">
        <v>454</v>
      </c>
      <c r="Y128" s="60">
        <v>456</v>
      </c>
      <c r="Z128" s="60">
        <v>455</v>
      </c>
    </row>
    <row r="129" spans="1:26" x14ac:dyDescent="0.6">
      <c r="A129" s="6" t="s">
        <v>532</v>
      </c>
      <c r="B129" s="10">
        <v>15</v>
      </c>
      <c r="C129" s="13" t="s">
        <v>973</v>
      </c>
      <c r="D129" s="13" t="s">
        <v>976</v>
      </c>
      <c r="E129" s="13" t="s">
        <v>980</v>
      </c>
      <c r="F129" s="10">
        <v>8</v>
      </c>
      <c r="G129" s="10"/>
      <c r="H129" s="1">
        <v>555</v>
      </c>
      <c r="I129" s="1">
        <v>443</v>
      </c>
      <c r="J129" s="1">
        <v>443</v>
      </c>
      <c r="K129" s="2">
        <v>1.51</v>
      </c>
      <c r="L129">
        <v>443</v>
      </c>
      <c r="M129">
        <v>443</v>
      </c>
      <c r="N129">
        <v>443</v>
      </c>
      <c r="O129">
        <v>443</v>
      </c>
      <c r="P129">
        <v>443</v>
      </c>
      <c r="S129">
        <v>445</v>
      </c>
      <c r="T129">
        <v>447</v>
      </c>
      <c r="U129" s="17">
        <v>4.38139302</v>
      </c>
      <c r="V129" s="60">
        <v>450</v>
      </c>
      <c r="W129" s="60">
        <v>450</v>
      </c>
      <c r="X129" s="60">
        <v>450</v>
      </c>
      <c r="Y129" s="60">
        <v>449</v>
      </c>
      <c r="Z129" s="60">
        <v>448</v>
      </c>
    </row>
    <row r="130" spans="1:26" x14ac:dyDescent="0.6">
      <c r="A130" s="6" t="s">
        <v>533</v>
      </c>
      <c r="B130" s="10">
        <v>15</v>
      </c>
      <c r="C130" s="13" t="s">
        <v>973</v>
      </c>
      <c r="D130" s="13" t="s">
        <v>976</v>
      </c>
      <c r="E130" s="13" t="s">
        <v>980</v>
      </c>
      <c r="F130" s="10">
        <v>9</v>
      </c>
      <c r="G130" s="10"/>
      <c r="H130" s="1">
        <v>478</v>
      </c>
      <c r="I130" s="1">
        <v>440</v>
      </c>
      <c r="J130" s="1">
        <v>440</v>
      </c>
      <c r="K130" s="2">
        <v>1.51</v>
      </c>
      <c r="L130">
        <v>440</v>
      </c>
      <c r="M130">
        <v>440</v>
      </c>
      <c r="N130">
        <v>440</v>
      </c>
      <c r="O130">
        <v>440</v>
      </c>
      <c r="P130">
        <v>440</v>
      </c>
      <c r="S130">
        <v>440</v>
      </c>
      <c r="T130">
        <v>440.8</v>
      </c>
      <c r="U130" s="17">
        <v>3.93842508</v>
      </c>
      <c r="V130" s="60">
        <v>443</v>
      </c>
      <c r="W130" s="60">
        <v>445</v>
      </c>
      <c r="X130" s="60">
        <v>446</v>
      </c>
      <c r="Y130" s="60">
        <v>444</v>
      </c>
      <c r="Z130" s="60">
        <v>443</v>
      </c>
    </row>
    <row r="131" spans="1:26" x14ac:dyDescent="0.6">
      <c r="A131" s="6" t="s">
        <v>534</v>
      </c>
      <c r="B131" s="10">
        <v>15</v>
      </c>
      <c r="C131" s="13" t="s">
        <v>973</v>
      </c>
      <c r="D131" s="13" t="s">
        <v>976</v>
      </c>
      <c r="E131" s="13" t="s">
        <v>980</v>
      </c>
      <c r="F131" s="10">
        <v>10</v>
      </c>
      <c r="G131" s="10"/>
      <c r="H131" s="1">
        <v>538</v>
      </c>
      <c r="I131" s="1">
        <v>456</v>
      </c>
      <c r="J131" s="1">
        <v>456</v>
      </c>
      <c r="K131" s="2">
        <v>1.51</v>
      </c>
      <c r="L131">
        <v>456</v>
      </c>
      <c r="M131">
        <v>456</v>
      </c>
      <c r="N131">
        <v>456</v>
      </c>
      <c r="O131">
        <v>456</v>
      </c>
      <c r="P131">
        <v>456</v>
      </c>
      <c r="S131">
        <v>458</v>
      </c>
      <c r="T131">
        <v>458.4</v>
      </c>
      <c r="U131" s="17">
        <v>3.7836662400000001</v>
      </c>
      <c r="V131" s="60">
        <v>463</v>
      </c>
      <c r="W131" s="60">
        <v>461</v>
      </c>
      <c r="X131" s="60">
        <v>460</v>
      </c>
      <c r="Y131" s="60">
        <v>463</v>
      </c>
      <c r="Z131" s="60">
        <v>462</v>
      </c>
    </row>
    <row r="132" spans="1:26" x14ac:dyDescent="0.6">
      <c r="A132" s="6" t="s">
        <v>535</v>
      </c>
      <c r="B132" s="10">
        <v>15</v>
      </c>
      <c r="C132" s="13" t="s">
        <v>973</v>
      </c>
      <c r="D132" s="13" t="s">
        <v>976</v>
      </c>
      <c r="E132" s="13" t="s">
        <v>984</v>
      </c>
      <c r="F132" s="10">
        <v>1</v>
      </c>
      <c r="G132" s="10"/>
      <c r="H132" s="1">
        <v>545</v>
      </c>
      <c r="I132" s="1">
        <v>435</v>
      </c>
      <c r="J132" s="1">
        <v>435</v>
      </c>
      <c r="K132" s="2">
        <v>1.51</v>
      </c>
      <c r="L132">
        <v>435</v>
      </c>
      <c r="M132">
        <v>435</v>
      </c>
      <c r="N132">
        <v>435</v>
      </c>
      <c r="O132">
        <v>435</v>
      </c>
      <c r="P132">
        <v>435</v>
      </c>
      <c r="S132">
        <v>435</v>
      </c>
      <c r="T132">
        <v>436.8</v>
      </c>
      <c r="U132" s="17">
        <v>3.7997662600000002</v>
      </c>
      <c r="V132" s="60">
        <v>440</v>
      </c>
      <c r="W132" s="60">
        <v>438</v>
      </c>
      <c r="X132" s="60">
        <v>439</v>
      </c>
      <c r="Y132" s="60">
        <v>437</v>
      </c>
      <c r="Z132" s="60">
        <v>439</v>
      </c>
    </row>
    <row r="133" spans="1:26" x14ac:dyDescent="0.6">
      <c r="A133" s="6" t="s">
        <v>536</v>
      </c>
      <c r="B133" s="10">
        <v>15</v>
      </c>
      <c r="C133" s="13" t="s">
        <v>973</v>
      </c>
      <c r="D133" s="13" t="s">
        <v>976</v>
      </c>
      <c r="E133" s="13" t="s">
        <v>985</v>
      </c>
      <c r="F133" s="10">
        <v>2</v>
      </c>
      <c r="G133" s="10"/>
      <c r="H133" s="1">
        <v>572</v>
      </c>
      <c r="I133" s="1">
        <v>428</v>
      </c>
      <c r="J133" s="1">
        <v>428</v>
      </c>
      <c r="K133" s="2">
        <v>1.51</v>
      </c>
      <c r="L133">
        <v>428</v>
      </c>
      <c r="M133">
        <v>428</v>
      </c>
      <c r="N133">
        <v>428</v>
      </c>
      <c r="O133">
        <v>428</v>
      </c>
      <c r="P133">
        <v>428</v>
      </c>
      <c r="S133">
        <v>428</v>
      </c>
      <c r="T133">
        <v>429.6</v>
      </c>
      <c r="U133" s="17">
        <v>4.0425426199999999</v>
      </c>
      <c r="V133" s="60">
        <v>433</v>
      </c>
      <c r="W133" s="60">
        <v>433</v>
      </c>
      <c r="X133" s="60">
        <v>433</v>
      </c>
      <c r="Y133" s="60">
        <v>433</v>
      </c>
      <c r="Z133" s="60">
        <v>432</v>
      </c>
    </row>
    <row r="134" spans="1:26" x14ac:dyDescent="0.6">
      <c r="A134" s="6" t="s">
        <v>537</v>
      </c>
      <c r="B134" s="10">
        <v>15</v>
      </c>
      <c r="C134" s="13" t="s">
        <v>973</v>
      </c>
      <c r="D134" s="13" t="s">
        <v>976</v>
      </c>
      <c r="E134" s="13" t="s">
        <v>982</v>
      </c>
      <c r="F134" s="10">
        <v>3</v>
      </c>
      <c r="G134" s="10"/>
      <c r="H134" s="1">
        <v>529</v>
      </c>
      <c r="I134" s="1">
        <v>434</v>
      </c>
      <c r="J134" s="1">
        <v>434</v>
      </c>
      <c r="K134" s="2">
        <v>1.51</v>
      </c>
      <c r="L134">
        <v>434</v>
      </c>
      <c r="M134">
        <v>434</v>
      </c>
      <c r="N134">
        <v>434</v>
      </c>
      <c r="O134">
        <v>434</v>
      </c>
      <c r="P134">
        <v>434</v>
      </c>
      <c r="S134">
        <v>437</v>
      </c>
      <c r="T134">
        <v>437.6</v>
      </c>
      <c r="U134" s="17">
        <v>3.8954464199999999</v>
      </c>
      <c r="V134" s="60">
        <v>439</v>
      </c>
      <c r="W134" s="60">
        <v>439</v>
      </c>
      <c r="X134" s="60">
        <v>438</v>
      </c>
      <c r="Y134" s="60">
        <v>438</v>
      </c>
      <c r="Z134" s="60">
        <v>437</v>
      </c>
    </row>
    <row r="135" spans="1:26" x14ac:dyDescent="0.6">
      <c r="A135" s="6" t="s">
        <v>538</v>
      </c>
      <c r="B135" s="10">
        <v>15</v>
      </c>
      <c r="C135" s="13" t="s">
        <v>973</v>
      </c>
      <c r="D135" s="13" t="s">
        <v>976</v>
      </c>
      <c r="E135" s="13" t="s">
        <v>982</v>
      </c>
      <c r="F135" s="10">
        <v>4</v>
      </c>
      <c r="G135" s="10"/>
      <c r="H135" s="1">
        <v>532</v>
      </c>
      <c r="I135" s="1">
        <v>446</v>
      </c>
      <c r="J135" s="1">
        <v>446</v>
      </c>
      <c r="K135" s="2">
        <v>1.51</v>
      </c>
      <c r="L135">
        <v>446</v>
      </c>
      <c r="M135">
        <v>446</v>
      </c>
      <c r="N135">
        <v>446</v>
      </c>
      <c r="O135">
        <v>446</v>
      </c>
      <c r="P135">
        <v>446</v>
      </c>
      <c r="S135">
        <v>447</v>
      </c>
      <c r="T135">
        <v>450.2</v>
      </c>
      <c r="U135" s="17">
        <v>4.0676790599999997</v>
      </c>
      <c r="V135" s="60">
        <v>453</v>
      </c>
      <c r="W135" s="60">
        <v>451</v>
      </c>
      <c r="X135" s="60">
        <v>451</v>
      </c>
      <c r="Y135" s="60">
        <v>454</v>
      </c>
      <c r="Z135" s="60">
        <v>454</v>
      </c>
    </row>
    <row r="136" spans="1:26" x14ac:dyDescent="0.6">
      <c r="A136" s="6" t="s">
        <v>539</v>
      </c>
      <c r="B136" s="10">
        <v>15</v>
      </c>
      <c r="C136" s="13" t="s">
        <v>973</v>
      </c>
      <c r="D136" s="13" t="s">
        <v>976</v>
      </c>
      <c r="E136" s="13" t="s">
        <v>982</v>
      </c>
      <c r="F136" s="10">
        <v>5</v>
      </c>
      <c r="G136" s="10"/>
      <c r="H136" s="1">
        <v>525</v>
      </c>
      <c r="I136" s="1">
        <v>432</v>
      </c>
      <c r="J136" s="1">
        <v>432</v>
      </c>
      <c r="K136" s="2">
        <v>1.51</v>
      </c>
      <c r="L136">
        <v>432</v>
      </c>
      <c r="M136">
        <v>432</v>
      </c>
      <c r="N136">
        <v>432</v>
      </c>
      <c r="O136">
        <v>432</v>
      </c>
      <c r="P136">
        <v>432</v>
      </c>
      <c r="S136">
        <v>433</v>
      </c>
      <c r="T136">
        <v>435.6</v>
      </c>
      <c r="U136" s="17">
        <v>4.4463043200000003</v>
      </c>
      <c r="V136" s="60">
        <v>443</v>
      </c>
      <c r="W136" s="60">
        <v>445</v>
      </c>
      <c r="X136" s="60">
        <v>441</v>
      </c>
      <c r="Y136" s="60">
        <v>441</v>
      </c>
      <c r="Z136" s="60">
        <v>442</v>
      </c>
    </row>
    <row r="137" spans="1:26" x14ac:dyDescent="0.6">
      <c r="A137" s="6" t="s">
        <v>540</v>
      </c>
      <c r="B137" s="10">
        <v>15</v>
      </c>
      <c r="C137" s="13" t="s">
        <v>973</v>
      </c>
      <c r="D137" s="13" t="s">
        <v>976</v>
      </c>
      <c r="E137" s="13" t="s">
        <v>982</v>
      </c>
      <c r="F137" s="10">
        <v>6</v>
      </c>
      <c r="G137" s="10"/>
      <c r="H137" s="1">
        <v>525</v>
      </c>
      <c r="I137" s="1">
        <v>462</v>
      </c>
      <c r="J137" s="1">
        <v>462</v>
      </c>
      <c r="K137" s="2">
        <v>1.51</v>
      </c>
      <c r="L137">
        <v>462</v>
      </c>
      <c r="M137">
        <v>462</v>
      </c>
      <c r="N137">
        <v>462</v>
      </c>
      <c r="O137">
        <v>462</v>
      </c>
      <c r="P137">
        <v>462</v>
      </c>
      <c r="S137">
        <v>463</v>
      </c>
      <c r="T137">
        <v>464</v>
      </c>
      <c r="U137" s="17">
        <v>4.4138515199999997</v>
      </c>
      <c r="V137" s="60">
        <v>467</v>
      </c>
      <c r="W137" s="60">
        <v>465</v>
      </c>
      <c r="X137" s="60">
        <v>466</v>
      </c>
      <c r="Y137" s="60">
        <v>466</v>
      </c>
      <c r="Z137" s="60">
        <v>467</v>
      </c>
    </row>
    <row r="138" spans="1:26" x14ac:dyDescent="0.6">
      <c r="A138" s="6" t="s">
        <v>541</v>
      </c>
      <c r="B138" s="10">
        <v>15</v>
      </c>
      <c r="C138" s="13" t="s">
        <v>973</v>
      </c>
      <c r="D138" s="13" t="s">
        <v>976</v>
      </c>
      <c r="E138" s="13" t="s">
        <v>982</v>
      </c>
      <c r="F138" s="10">
        <v>7</v>
      </c>
      <c r="G138" s="10"/>
      <c r="H138" s="1">
        <v>514</v>
      </c>
      <c r="I138" s="1">
        <v>448</v>
      </c>
      <c r="J138" s="1">
        <v>448</v>
      </c>
      <c r="K138" s="2">
        <v>1.51</v>
      </c>
      <c r="L138">
        <v>448</v>
      </c>
      <c r="M138">
        <v>448</v>
      </c>
      <c r="N138">
        <v>448</v>
      </c>
      <c r="O138">
        <v>448</v>
      </c>
      <c r="P138">
        <v>448</v>
      </c>
      <c r="S138">
        <v>448</v>
      </c>
      <c r="T138">
        <v>451.8</v>
      </c>
      <c r="U138" s="17">
        <v>4.2724517400000002</v>
      </c>
      <c r="V138" s="60">
        <v>458</v>
      </c>
      <c r="W138" s="60">
        <v>457</v>
      </c>
      <c r="X138" s="60">
        <v>455</v>
      </c>
      <c r="Y138" s="60">
        <v>458</v>
      </c>
      <c r="Z138" s="60">
        <v>455</v>
      </c>
    </row>
    <row r="139" spans="1:26" x14ac:dyDescent="0.6">
      <c r="A139" s="6" t="s">
        <v>542</v>
      </c>
      <c r="B139" s="10">
        <v>15</v>
      </c>
      <c r="C139" s="13" t="s">
        <v>973</v>
      </c>
      <c r="D139" s="13" t="s">
        <v>976</v>
      </c>
      <c r="E139" s="13" t="s">
        <v>982</v>
      </c>
      <c r="F139" s="10">
        <v>8</v>
      </c>
      <c r="G139" s="10"/>
      <c r="H139" s="1">
        <v>635</v>
      </c>
      <c r="I139" s="1">
        <v>444</v>
      </c>
      <c r="J139" s="1">
        <v>444</v>
      </c>
      <c r="K139" s="2">
        <v>1.51</v>
      </c>
      <c r="L139">
        <v>444</v>
      </c>
      <c r="M139">
        <v>444</v>
      </c>
      <c r="N139">
        <v>444</v>
      </c>
      <c r="O139">
        <v>444</v>
      </c>
      <c r="P139">
        <v>444</v>
      </c>
      <c r="S139">
        <v>446</v>
      </c>
      <c r="T139">
        <v>446.4</v>
      </c>
      <c r="U139" s="17">
        <v>4.3984167000000003</v>
      </c>
      <c r="V139" s="60">
        <v>457</v>
      </c>
      <c r="W139" s="60">
        <v>457</v>
      </c>
      <c r="X139" s="60">
        <v>456</v>
      </c>
      <c r="Y139" s="60">
        <v>454</v>
      </c>
      <c r="Z139" s="60">
        <v>455</v>
      </c>
    </row>
    <row r="140" spans="1:26" x14ac:dyDescent="0.6">
      <c r="A140" s="6" t="s">
        <v>543</v>
      </c>
      <c r="B140" s="10">
        <v>15</v>
      </c>
      <c r="C140" s="13" t="s">
        <v>973</v>
      </c>
      <c r="D140" s="13" t="s">
        <v>976</v>
      </c>
      <c r="E140" s="13" t="s">
        <v>982</v>
      </c>
      <c r="F140" s="10">
        <v>9</v>
      </c>
      <c r="G140" s="10"/>
      <c r="H140" s="1">
        <v>498</v>
      </c>
      <c r="I140" s="1">
        <v>440</v>
      </c>
      <c r="J140" s="1">
        <v>440</v>
      </c>
      <c r="K140" s="2">
        <v>1.51</v>
      </c>
      <c r="L140">
        <v>440</v>
      </c>
      <c r="M140">
        <v>440</v>
      </c>
      <c r="N140">
        <v>440</v>
      </c>
      <c r="O140">
        <v>440</v>
      </c>
      <c r="P140">
        <v>440</v>
      </c>
      <c r="S140">
        <v>440</v>
      </c>
      <c r="T140">
        <v>442.4</v>
      </c>
      <c r="U140" s="17">
        <v>3.9232310199999998</v>
      </c>
      <c r="V140" s="60">
        <v>447</v>
      </c>
      <c r="W140" s="60">
        <v>446</v>
      </c>
      <c r="X140" s="60">
        <v>446</v>
      </c>
      <c r="Y140" s="60">
        <v>446</v>
      </c>
      <c r="Z140" s="60">
        <v>448</v>
      </c>
    </row>
    <row r="141" spans="1:26" x14ac:dyDescent="0.6">
      <c r="A141" s="6" t="s">
        <v>544</v>
      </c>
      <c r="B141" s="10">
        <v>15</v>
      </c>
      <c r="C141" s="13" t="s">
        <v>973</v>
      </c>
      <c r="D141" s="13" t="s">
        <v>976</v>
      </c>
      <c r="E141" s="13" t="s">
        <v>982</v>
      </c>
      <c r="F141" s="10">
        <v>10</v>
      </c>
      <c r="G141" s="10"/>
      <c r="H141" s="1">
        <v>598</v>
      </c>
      <c r="I141" s="1">
        <v>456</v>
      </c>
      <c r="J141" s="1">
        <v>456</v>
      </c>
      <c r="K141" s="2">
        <v>1.51</v>
      </c>
      <c r="L141">
        <v>456</v>
      </c>
      <c r="M141">
        <v>456</v>
      </c>
      <c r="N141">
        <v>456</v>
      </c>
      <c r="O141">
        <v>456</v>
      </c>
      <c r="P141">
        <v>456</v>
      </c>
      <c r="S141">
        <v>459</v>
      </c>
      <c r="T141">
        <v>461</v>
      </c>
      <c r="U141" s="17">
        <v>3.8895127600000001</v>
      </c>
      <c r="V141" s="60">
        <v>462</v>
      </c>
      <c r="W141" s="60">
        <v>462</v>
      </c>
      <c r="X141" s="60">
        <v>462</v>
      </c>
      <c r="Y141" s="60">
        <v>465</v>
      </c>
      <c r="Z141" s="60">
        <v>463</v>
      </c>
    </row>
    <row r="142" spans="1:26" x14ac:dyDescent="0.6">
      <c r="A142" s="6" t="s">
        <v>545</v>
      </c>
      <c r="B142" s="10">
        <v>15</v>
      </c>
      <c r="C142" s="13" t="s">
        <v>973</v>
      </c>
      <c r="D142" s="13" t="s">
        <v>979</v>
      </c>
      <c r="E142" s="13" t="s">
        <v>981</v>
      </c>
      <c r="F142" s="10">
        <v>1</v>
      </c>
      <c r="G142" s="10"/>
      <c r="H142" s="1">
        <v>565</v>
      </c>
      <c r="I142" s="1">
        <v>505</v>
      </c>
      <c r="J142" s="1">
        <v>505</v>
      </c>
      <c r="K142" s="2">
        <v>1.51</v>
      </c>
      <c r="L142">
        <v>505</v>
      </c>
      <c r="M142">
        <v>505</v>
      </c>
      <c r="N142">
        <v>505</v>
      </c>
      <c r="O142">
        <v>505</v>
      </c>
      <c r="P142">
        <v>505</v>
      </c>
      <c r="S142">
        <v>505</v>
      </c>
      <c r="T142">
        <v>507</v>
      </c>
      <c r="U142" s="17">
        <v>3.9011101799999999</v>
      </c>
      <c r="V142" s="60">
        <v>509</v>
      </c>
      <c r="W142" s="60">
        <v>508</v>
      </c>
      <c r="X142" s="60">
        <v>508</v>
      </c>
      <c r="Y142" s="60">
        <v>507</v>
      </c>
      <c r="Z142" s="60">
        <v>509</v>
      </c>
    </row>
    <row r="143" spans="1:26" x14ac:dyDescent="0.6">
      <c r="A143" s="6" t="s">
        <v>546</v>
      </c>
      <c r="B143" s="10">
        <v>15</v>
      </c>
      <c r="C143" s="13" t="s">
        <v>973</v>
      </c>
      <c r="D143" s="13" t="s">
        <v>979</v>
      </c>
      <c r="E143" s="13" t="s">
        <v>983</v>
      </c>
      <c r="F143" s="10">
        <v>2</v>
      </c>
      <c r="G143" s="10"/>
      <c r="H143" s="1">
        <v>567</v>
      </c>
      <c r="I143" s="1">
        <v>497</v>
      </c>
      <c r="J143" s="1">
        <v>497</v>
      </c>
      <c r="K143" s="2">
        <v>1.51</v>
      </c>
      <c r="L143">
        <v>497</v>
      </c>
      <c r="M143">
        <v>497</v>
      </c>
      <c r="N143">
        <v>497</v>
      </c>
      <c r="O143">
        <v>497</v>
      </c>
      <c r="P143">
        <v>497</v>
      </c>
      <c r="S143">
        <v>498</v>
      </c>
      <c r="T143">
        <v>498.8</v>
      </c>
      <c r="U143" s="17">
        <v>3.9788997400000001</v>
      </c>
      <c r="V143" s="60">
        <v>501</v>
      </c>
      <c r="W143" s="60">
        <v>501</v>
      </c>
      <c r="X143" s="60">
        <v>500</v>
      </c>
      <c r="Y143" s="60">
        <v>500</v>
      </c>
      <c r="Z143" s="60">
        <v>501</v>
      </c>
    </row>
    <row r="144" spans="1:26" x14ac:dyDescent="0.6">
      <c r="A144" s="6" t="s">
        <v>547</v>
      </c>
      <c r="B144" s="10">
        <v>15</v>
      </c>
      <c r="C144" s="13" t="s">
        <v>973</v>
      </c>
      <c r="D144" s="13" t="s">
        <v>978</v>
      </c>
      <c r="E144" s="13" t="s">
        <v>980</v>
      </c>
      <c r="F144" s="10">
        <v>3</v>
      </c>
      <c r="G144" s="10"/>
      <c r="H144" s="1">
        <v>549</v>
      </c>
      <c r="I144" s="1">
        <v>503</v>
      </c>
      <c r="J144" s="1">
        <v>503</v>
      </c>
      <c r="K144" s="2">
        <v>1.51</v>
      </c>
      <c r="L144">
        <v>503</v>
      </c>
      <c r="M144">
        <v>503</v>
      </c>
      <c r="N144">
        <v>503</v>
      </c>
      <c r="O144">
        <v>503</v>
      </c>
      <c r="P144">
        <v>503</v>
      </c>
      <c r="S144">
        <v>503</v>
      </c>
      <c r="T144">
        <v>505</v>
      </c>
      <c r="U144" s="17">
        <v>3.8484632599999999</v>
      </c>
      <c r="V144" s="60">
        <v>508</v>
      </c>
      <c r="W144" s="60">
        <v>508</v>
      </c>
      <c r="X144" s="60">
        <v>507</v>
      </c>
      <c r="Y144" s="60">
        <v>506</v>
      </c>
      <c r="Z144" s="60">
        <v>507</v>
      </c>
    </row>
    <row r="145" spans="1:26" x14ac:dyDescent="0.6">
      <c r="A145" s="6" t="s">
        <v>548</v>
      </c>
      <c r="B145" s="10">
        <v>15</v>
      </c>
      <c r="C145" s="13" t="s">
        <v>973</v>
      </c>
      <c r="D145" s="13" t="s">
        <v>978</v>
      </c>
      <c r="E145" s="13" t="s">
        <v>980</v>
      </c>
      <c r="F145" s="10">
        <v>4</v>
      </c>
      <c r="G145" s="10"/>
      <c r="H145" s="1">
        <v>554</v>
      </c>
      <c r="I145" s="1">
        <v>516</v>
      </c>
      <c r="J145" s="1">
        <v>516</v>
      </c>
      <c r="K145" s="2">
        <v>1.51</v>
      </c>
      <c r="L145">
        <v>516</v>
      </c>
      <c r="M145">
        <v>516</v>
      </c>
      <c r="N145">
        <v>516</v>
      </c>
      <c r="O145">
        <v>516</v>
      </c>
      <c r="P145">
        <v>516</v>
      </c>
      <c r="S145">
        <v>517</v>
      </c>
      <c r="T145">
        <v>518.6</v>
      </c>
      <c r="U145" s="17">
        <v>4.1718378600000001</v>
      </c>
      <c r="V145" s="60">
        <v>521</v>
      </c>
      <c r="W145" s="60">
        <v>520</v>
      </c>
      <c r="X145" s="60">
        <v>520</v>
      </c>
      <c r="Y145" s="60">
        <v>521</v>
      </c>
      <c r="Z145" s="60">
        <v>520</v>
      </c>
    </row>
    <row r="146" spans="1:26" x14ac:dyDescent="0.6">
      <c r="A146" s="6" t="s">
        <v>549</v>
      </c>
      <c r="B146" s="10">
        <v>15</v>
      </c>
      <c r="C146" s="13" t="s">
        <v>973</v>
      </c>
      <c r="D146" s="13" t="s">
        <v>978</v>
      </c>
      <c r="E146" s="13" t="s">
        <v>980</v>
      </c>
      <c r="F146" s="10">
        <v>5</v>
      </c>
      <c r="G146" s="10"/>
      <c r="H146" s="1">
        <v>545</v>
      </c>
      <c r="I146" s="1">
        <v>501</v>
      </c>
      <c r="J146" s="1">
        <v>501</v>
      </c>
      <c r="K146" s="2">
        <v>1.51</v>
      </c>
      <c r="L146">
        <v>501</v>
      </c>
      <c r="M146">
        <v>501</v>
      </c>
      <c r="N146">
        <v>501</v>
      </c>
      <c r="O146">
        <v>501</v>
      </c>
      <c r="P146">
        <v>501</v>
      </c>
      <c r="S146">
        <v>502</v>
      </c>
      <c r="T146">
        <v>503</v>
      </c>
      <c r="U146" s="17">
        <v>4.4243855999999999</v>
      </c>
      <c r="V146" s="60">
        <v>505</v>
      </c>
      <c r="W146" s="60">
        <v>507</v>
      </c>
      <c r="X146" s="60">
        <v>506</v>
      </c>
      <c r="Y146" s="60">
        <v>505</v>
      </c>
      <c r="Z146" s="60">
        <v>506</v>
      </c>
    </row>
    <row r="147" spans="1:26" x14ac:dyDescent="0.6">
      <c r="A147" s="6" t="s">
        <v>550</v>
      </c>
      <c r="B147" s="10">
        <v>15</v>
      </c>
      <c r="C147" s="13" t="s">
        <v>973</v>
      </c>
      <c r="D147" s="13" t="s">
        <v>978</v>
      </c>
      <c r="E147" s="13" t="s">
        <v>980</v>
      </c>
      <c r="F147" s="10">
        <v>6</v>
      </c>
      <c r="G147" s="10"/>
      <c r="H147" s="1">
        <v>570</v>
      </c>
      <c r="I147" s="1">
        <v>530</v>
      </c>
      <c r="J147" s="1">
        <v>530</v>
      </c>
      <c r="K147" s="2">
        <v>1.51</v>
      </c>
      <c r="L147">
        <v>530</v>
      </c>
      <c r="M147">
        <v>530</v>
      </c>
      <c r="N147">
        <v>530</v>
      </c>
      <c r="O147">
        <v>530</v>
      </c>
      <c r="P147">
        <v>530</v>
      </c>
      <c r="S147">
        <v>530</v>
      </c>
      <c r="T147">
        <v>532.79999999999995</v>
      </c>
      <c r="U147" s="17">
        <v>4.2177993999999996</v>
      </c>
      <c r="V147" s="60">
        <v>535</v>
      </c>
      <c r="W147" s="60">
        <v>537</v>
      </c>
      <c r="X147" s="60">
        <v>536</v>
      </c>
      <c r="Y147" s="60">
        <v>536</v>
      </c>
      <c r="Z147" s="60">
        <v>535</v>
      </c>
    </row>
    <row r="148" spans="1:26" x14ac:dyDescent="0.6">
      <c r="A148" s="6" t="s">
        <v>551</v>
      </c>
      <c r="B148" s="10">
        <v>15</v>
      </c>
      <c r="C148" s="13" t="s">
        <v>973</v>
      </c>
      <c r="D148" s="13" t="s">
        <v>978</v>
      </c>
      <c r="E148" s="13" t="s">
        <v>980</v>
      </c>
      <c r="F148" s="10">
        <v>7</v>
      </c>
      <c r="G148" s="10"/>
      <c r="H148" s="1">
        <v>559</v>
      </c>
      <c r="I148" s="1">
        <v>518</v>
      </c>
      <c r="J148" s="1">
        <v>518</v>
      </c>
      <c r="K148" s="2">
        <v>1.51</v>
      </c>
      <c r="L148">
        <v>518</v>
      </c>
      <c r="M148">
        <v>518</v>
      </c>
      <c r="N148">
        <v>518</v>
      </c>
      <c r="O148">
        <v>518</v>
      </c>
      <c r="P148">
        <v>518</v>
      </c>
      <c r="S148">
        <v>519</v>
      </c>
      <c r="T148">
        <v>521.6</v>
      </c>
      <c r="U148" s="17">
        <v>4.2137073599999999</v>
      </c>
      <c r="V148" s="60">
        <v>524</v>
      </c>
      <c r="W148" s="60">
        <v>525</v>
      </c>
      <c r="X148" s="60">
        <v>525</v>
      </c>
      <c r="Y148" s="60">
        <v>525</v>
      </c>
      <c r="Z148" s="60">
        <v>525</v>
      </c>
    </row>
    <row r="149" spans="1:26" x14ac:dyDescent="0.6">
      <c r="A149" s="6" t="s">
        <v>552</v>
      </c>
      <c r="B149" s="10">
        <v>15</v>
      </c>
      <c r="C149" s="13" t="s">
        <v>973</v>
      </c>
      <c r="D149" s="13" t="s">
        <v>978</v>
      </c>
      <c r="E149" s="13" t="s">
        <v>980</v>
      </c>
      <c r="F149" s="10">
        <v>8</v>
      </c>
      <c r="G149" s="10"/>
      <c r="H149" s="1">
        <v>605</v>
      </c>
      <c r="I149" s="1">
        <v>513</v>
      </c>
      <c r="J149" s="1">
        <v>513</v>
      </c>
      <c r="K149" s="2">
        <v>1.5</v>
      </c>
      <c r="L149">
        <v>513</v>
      </c>
      <c r="M149">
        <v>513</v>
      </c>
      <c r="N149">
        <v>513</v>
      </c>
      <c r="O149">
        <v>513</v>
      </c>
      <c r="P149">
        <v>513</v>
      </c>
      <c r="S149">
        <v>513</v>
      </c>
      <c r="T149">
        <v>515.20000000000005</v>
      </c>
      <c r="U149" s="17">
        <v>4.2761674999999997</v>
      </c>
      <c r="V149" s="60">
        <v>518</v>
      </c>
      <c r="W149" s="60">
        <v>519</v>
      </c>
      <c r="X149" s="60">
        <v>518</v>
      </c>
      <c r="Y149" s="60">
        <v>520</v>
      </c>
      <c r="Z149" s="60">
        <v>519</v>
      </c>
    </row>
    <row r="150" spans="1:26" x14ac:dyDescent="0.6">
      <c r="A150" s="6" t="s">
        <v>553</v>
      </c>
      <c r="B150" s="10">
        <v>15</v>
      </c>
      <c r="C150" s="13" t="s">
        <v>973</v>
      </c>
      <c r="D150" s="13" t="s">
        <v>978</v>
      </c>
      <c r="E150" s="13" t="s">
        <v>980</v>
      </c>
      <c r="F150" s="10">
        <v>9</v>
      </c>
      <c r="G150" s="10"/>
      <c r="H150" s="1">
        <v>543</v>
      </c>
      <c r="I150" s="1">
        <v>510</v>
      </c>
      <c r="J150" s="1">
        <v>510</v>
      </c>
      <c r="K150" s="2">
        <v>1.51</v>
      </c>
      <c r="L150">
        <v>510</v>
      </c>
      <c r="M150">
        <v>510</v>
      </c>
      <c r="N150">
        <v>510</v>
      </c>
      <c r="O150">
        <v>510</v>
      </c>
      <c r="P150">
        <v>510</v>
      </c>
      <c r="S150">
        <v>510</v>
      </c>
      <c r="T150">
        <v>512.20000000000005</v>
      </c>
      <c r="U150" s="17">
        <v>3.9098161400000002</v>
      </c>
      <c r="V150" s="60">
        <v>513</v>
      </c>
      <c r="W150" s="60">
        <v>514</v>
      </c>
      <c r="X150" s="60">
        <v>515</v>
      </c>
      <c r="Y150" s="60">
        <v>512</v>
      </c>
      <c r="Z150" s="60">
        <v>514</v>
      </c>
    </row>
    <row r="151" spans="1:26" x14ac:dyDescent="0.6">
      <c r="A151" s="6" t="s">
        <v>554</v>
      </c>
      <c r="B151" s="10">
        <v>15</v>
      </c>
      <c r="C151" s="13" t="s">
        <v>973</v>
      </c>
      <c r="D151" s="13" t="s">
        <v>978</v>
      </c>
      <c r="E151" s="13" t="s">
        <v>980</v>
      </c>
      <c r="F151" s="10">
        <v>10</v>
      </c>
      <c r="G151" s="10"/>
      <c r="H151" s="1">
        <v>593</v>
      </c>
      <c r="I151" s="1">
        <v>526</v>
      </c>
      <c r="J151" s="1">
        <v>526</v>
      </c>
      <c r="K151" s="2">
        <v>1.51</v>
      </c>
      <c r="L151">
        <v>526</v>
      </c>
      <c r="M151">
        <v>526</v>
      </c>
      <c r="N151">
        <v>526</v>
      </c>
      <c r="O151">
        <v>526</v>
      </c>
      <c r="P151">
        <v>526</v>
      </c>
      <c r="S151">
        <v>527</v>
      </c>
      <c r="T151">
        <v>529.4</v>
      </c>
      <c r="U151" s="17">
        <v>3.8173968999999999</v>
      </c>
      <c r="V151" s="60">
        <v>533</v>
      </c>
      <c r="W151" s="60">
        <v>533</v>
      </c>
      <c r="X151" s="60">
        <v>532</v>
      </c>
      <c r="Y151" s="60">
        <v>532</v>
      </c>
      <c r="Z151" s="60">
        <v>530</v>
      </c>
    </row>
    <row r="152" spans="1:26" x14ac:dyDescent="0.6">
      <c r="A152" s="6" t="s">
        <v>555</v>
      </c>
      <c r="B152" s="10">
        <v>15</v>
      </c>
      <c r="C152" s="13" t="s">
        <v>973</v>
      </c>
      <c r="D152" s="13" t="s">
        <v>978</v>
      </c>
      <c r="E152" s="13" t="s">
        <v>984</v>
      </c>
      <c r="F152" s="10">
        <v>1</v>
      </c>
      <c r="G152" s="10"/>
      <c r="H152" s="1">
        <v>605</v>
      </c>
      <c r="I152" s="1">
        <v>505</v>
      </c>
      <c r="J152" s="1">
        <v>505</v>
      </c>
      <c r="K152" s="2">
        <v>1.51</v>
      </c>
      <c r="L152">
        <v>505</v>
      </c>
      <c r="M152">
        <v>505</v>
      </c>
      <c r="N152">
        <v>505</v>
      </c>
      <c r="O152">
        <v>505</v>
      </c>
      <c r="P152">
        <v>505</v>
      </c>
      <c r="S152">
        <v>505</v>
      </c>
      <c r="T152">
        <v>507</v>
      </c>
      <c r="U152" s="17">
        <v>3.81811284</v>
      </c>
      <c r="V152" s="60">
        <v>508</v>
      </c>
      <c r="W152" s="60">
        <v>509</v>
      </c>
      <c r="X152" s="60">
        <v>509</v>
      </c>
      <c r="Y152" s="60">
        <v>509</v>
      </c>
      <c r="Z152" s="60">
        <v>509</v>
      </c>
    </row>
    <row r="153" spans="1:26" x14ac:dyDescent="0.6">
      <c r="A153" s="6" t="s">
        <v>556</v>
      </c>
      <c r="B153" s="10">
        <v>15</v>
      </c>
      <c r="C153" s="13" t="s">
        <v>973</v>
      </c>
      <c r="D153" s="13" t="s">
        <v>978</v>
      </c>
      <c r="E153" s="13" t="s">
        <v>985</v>
      </c>
      <c r="F153" s="10">
        <v>2</v>
      </c>
      <c r="G153" s="10"/>
      <c r="H153" s="1">
        <v>627</v>
      </c>
      <c r="I153" s="1">
        <v>498</v>
      </c>
      <c r="J153" s="1">
        <v>498</v>
      </c>
      <c r="K153" s="2">
        <v>1.51</v>
      </c>
      <c r="L153">
        <v>498</v>
      </c>
      <c r="M153">
        <v>498</v>
      </c>
      <c r="N153">
        <v>498</v>
      </c>
      <c r="O153">
        <v>498</v>
      </c>
      <c r="P153">
        <v>498</v>
      </c>
      <c r="S153">
        <v>498</v>
      </c>
      <c r="T153">
        <v>500.4</v>
      </c>
      <c r="U153" s="17">
        <v>3.9161662599999998</v>
      </c>
      <c r="V153" s="60">
        <v>502</v>
      </c>
      <c r="W153" s="60">
        <v>503</v>
      </c>
      <c r="X153" s="60">
        <v>503</v>
      </c>
      <c r="Y153" s="60">
        <v>504</v>
      </c>
      <c r="Z153" s="60">
        <v>502</v>
      </c>
    </row>
    <row r="154" spans="1:26" x14ac:dyDescent="0.6">
      <c r="A154" s="6" t="s">
        <v>557</v>
      </c>
      <c r="B154" s="10">
        <v>15</v>
      </c>
      <c r="C154" s="13" t="s">
        <v>973</v>
      </c>
      <c r="D154" s="13" t="s">
        <v>978</v>
      </c>
      <c r="E154" s="13" t="s">
        <v>982</v>
      </c>
      <c r="F154" s="10">
        <v>3</v>
      </c>
      <c r="G154" s="10"/>
      <c r="H154" s="1">
        <v>589</v>
      </c>
      <c r="I154" s="1">
        <v>504</v>
      </c>
      <c r="J154" s="1">
        <v>504</v>
      </c>
      <c r="K154" s="2">
        <v>1.51</v>
      </c>
      <c r="L154">
        <v>504</v>
      </c>
      <c r="M154">
        <v>504</v>
      </c>
      <c r="N154">
        <v>504</v>
      </c>
      <c r="O154">
        <v>504</v>
      </c>
      <c r="P154">
        <v>504</v>
      </c>
      <c r="S154">
        <v>504</v>
      </c>
      <c r="T154">
        <v>505.6</v>
      </c>
      <c r="U154" s="17">
        <v>3.8960123800000002</v>
      </c>
      <c r="V154" s="60">
        <v>509</v>
      </c>
      <c r="W154" s="60">
        <v>508</v>
      </c>
      <c r="X154" s="60">
        <v>509</v>
      </c>
      <c r="Y154" s="60">
        <v>507</v>
      </c>
      <c r="Z154" s="60">
        <v>509</v>
      </c>
    </row>
    <row r="155" spans="1:26" x14ac:dyDescent="0.6">
      <c r="A155" s="6" t="s">
        <v>558</v>
      </c>
      <c r="B155" s="10">
        <v>15</v>
      </c>
      <c r="C155" s="13" t="s">
        <v>973</v>
      </c>
      <c r="D155" s="13" t="s">
        <v>978</v>
      </c>
      <c r="E155" s="13" t="s">
        <v>982</v>
      </c>
      <c r="F155" s="10">
        <v>4</v>
      </c>
      <c r="G155" s="10"/>
      <c r="H155" s="1">
        <v>579</v>
      </c>
      <c r="I155" s="1">
        <v>516</v>
      </c>
      <c r="J155" s="1">
        <v>516</v>
      </c>
      <c r="K155" s="2">
        <v>1.5</v>
      </c>
      <c r="L155">
        <v>516</v>
      </c>
      <c r="M155">
        <v>516</v>
      </c>
      <c r="N155">
        <v>516</v>
      </c>
      <c r="O155">
        <v>516</v>
      </c>
      <c r="P155">
        <v>516</v>
      </c>
      <c r="S155">
        <v>517</v>
      </c>
      <c r="T155">
        <v>519.79999999999995</v>
      </c>
      <c r="U155" s="17">
        <v>4.0487735999999996</v>
      </c>
      <c r="V155" s="60">
        <v>521</v>
      </c>
      <c r="W155" s="60">
        <v>521</v>
      </c>
      <c r="X155" s="60">
        <v>520</v>
      </c>
      <c r="Y155" s="60">
        <v>523</v>
      </c>
      <c r="Z155" s="60">
        <v>522</v>
      </c>
    </row>
    <row r="156" spans="1:26" x14ac:dyDescent="0.6">
      <c r="A156" s="6" t="s">
        <v>559</v>
      </c>
      <c r="B156" s="10">
        <v>15</v>
      </c>
      <c r="C156" s="13" t="s">
        <v>973</v>
      </c>
      <c r="D156" s="13" t="s">
        <v>978</v>
      </c>
      <c r="E156" s="13" t="s">
        <v>982</v>
      </c>
      <c r="F156" s="10">
        <v>5</v>
      </c>
      <c r="G156" s="10"/>
      <c r="H156" s="1">
        <v>585</v>
      </c>
      <c r="I156" s="1">
        <v>502</v>
      </c>
      <c r="J156" s="1">
        <v>502</v>
      </c>
      <c r="K156" s="2">
        <v>1.5</v>
      </c>
      <c r="L156">
        <v>502</v>
      </c>
      <c r="M156">
        <v>502</v>
      </c>
      <c r="N156">
        <v>502</v>
      </c>
      <c r="O156">
        <v>502</v>
      </c>
      <c r="P156">
        <v>502</v>
      </c>
      <c r="S156">
        <v>502</v>
      </c>
      <c r="T156">
        <v>504.6</v>
      </c>
      <c r="U156" s="17">
        <v>4.5035765999999997</v>
      </c>
      <c r="V156" s="60">
        <v>510</v>
      </c>
      <c r="W156" s="60">
        <v>508</v>
      </c>
      <c r="X156" s="60">
        <v>508</v>
      </c>
      <c r="Y156" s="60">
        <v>509</v>
      </c>
      <c r="Z156" s="60">
        <v>509</v>
      </c>
    </row>
    <row r="157" spans="1:26" x14ac:dyDescent="0.6">
      <c r="A157" s="6" t="s">
        <v>560</v>
      </c>
      <c r="B157" s="10">
        <v>15</v>
      </c>
      <c r="C157" s="13" t="s">
        <v>973</v>
      </c>
      <c r="D157" s="13" t="s">
        <v>978</v>
      </c>
      <c r="E157" s="13" t="s">
        <v>982</v>
      </c>
      <c r="F157" s="10">
        <v>6</v>
      </c>
      <c r="G157" s="10"/>
      <c r="H157" s="1">
        <v>590</v>
      </c>
      <c r="I157" s="1">
        <v>531</v>
      </c>
      <c r="J157" s="1">
        <v>531</v>
      </c>
      <c r="K157" s="2">
        <v>1.51</v>
      </c>
      <c r="L157">
        <v>531</v>
      </c>
      <c r="M157">
        <v>531</v>
      </c>
      <c r="N157">
        <v>531</v>
      </c>
      <c r="O157">
        <v>531</v>
      </c>
      <c r="P157">
        <v>531</v>
      </c>
      <c r="S157">
        <v>532</v>
      </c>
      <c r="T157">
        <v>533.79999999999995</v>
      </c>
      <c r="U157" s="17">
        <v>4.27774126</v>
      </c>
      <c r="V157" s="60">
        <v>536</v>
      </c>
      <c r="W157" s="60">
        <v>535</v>
      </c>
      <c r="X157" s="60">
        <v>534</v>
      </c>
      <c r="Y157" s="60">
        <v>537</v>
      </c>
      <c r="Z157" s="60">
        <v>536</v>
      </c>
    </row>
    <row r="158" spans="1:26" x14ac:dyDescent="0.6">
      <c r="A158" s="6" t="s">
        <v>561</v>
      </c>
      <c r="B158" s="10">
        <v>15</v>
      </c>
      <c r="C158" s="13" t="s">
        <v>973</v>
      </c>
      <c r="D158" s="13" t="s">
        <v>978</v>
      </c>
      <c r="E158" s="13" t="s">
        <v>982</v>
      </c>
      <c r="F158" s="10">
        <v>7</v>
      </c>
      <c r="G158" s="10"/>
      <c r="H158" s="1">
        <v>579</v>
      </c>
      <c r="I158" s="1">
        <v>518</v>
      </c>
      <c r="J158" s="1">
        <v>518</v>
      </c>
      <c r="K158" s="2">
        <v>1.51</v>
      </c>
      <c r="L158">
        <v>518</v>
      </c>
      <c r="M158">
        <v>518</v>
      </c>
      <c r="N158">
        <v>518</v>
      </c>
      <c r="O158">
        <v>518</v>
      </c>
      <c r="P158">
        <v>518</v>
      </c>
      <c r="S158">
        <v>518</v>
      </c>
      <c r="T158">
        <v>520.20000000000005</v>
      </c>
      <c r="U158" s="17">
        <v>4.0990750800000004</v>
      </c>
      <c r="V158" s="60">
        <v>526</v>
      </c>
      <c r="W158" s="60">
        <v>526</v>
      </c>
      <c r="X158" s="60">
        <v>526</v>
      </c>
      <c r="Y158" s="60">
        <v>527</v>
      </c>
      <c r="Z158" s="60">
        <v>524</v>
      </c>
    </row>
    <row r="159" spans="1:26" x14ac:dyDescent="0.6">
      <c r="A159" s="6" t="s">
        <v>562</v>
      </c>
      <c r="B159" s="10">
        <v>15</v>
      </c>
      <c r="C159" s="13" t="s">
        <v>973</v>
      </c>
      <c r="D159" s="13" t="s">
        <v>978</v>
      </c>
      <c r="E159" s="13" t="s">
        <v>982</v>
      </c>
      <c r="F159" s="10">
        <v>8</v>
      </c>
      <c r="G159" s="10"/>
      <c r="H159" s="1">
        <v>685</v>
      </c>
      <c r="I159" s="1">
        <v>514</v>
      </c>
      <c r="J159" s="1">
        <v>514</v>
      </c>
      <c r="K159" s="2">
        <v>1.51</v>
      </c>
      <c r="L159">
        <v>514</v>
      </c>
      <c r="M159">
        <v>514</v>
      </c>
      <c r="N159">
        <v>514</v>
      </c>
      <c r="O159">
        <v>514</v>
      </c>
      <c r="P159">
        <v>514</v>
      </c>
      <c r="S159">
        <v>516</v>
      </c>
      <c r="T159">
        <v>517.20000000000005</v>
      </c>
      <c r="U159" s="17">
        <v>4.2697588800000004</v>
      </c>
      <c r="V159" s="60">
        <v>524</v>
      </c>
      <c r="W159" s="60">
        <v>523</v>
      </c>
      <c r="X159" s="60">
        <v>523</v>
      </c>
      <c r="Y159" s="60">
        <v>525</v>
      </c>
      <c r="Z159" s="60">
        <v>524</v>
      </c>
    </row>
    <row r="160" spans="1:26" x14ac:dyDescent="0.6">
      <c r="A160" s="6" t="s">
        <v>563</v>
      </c>
      <c r="B160" s="10">
        <v>15</v>
      </c>
      <c r="C160" s="13" t="s">
        <v>973</v>
      </c>
      <c r="D160" s="13" t="s">
        <v>978</v>
      </c>
      <c r="E160" s="13" t="s">
        <v>982</v>
      </c>
      <c r="F160" s="10">
        <v>9</v>
      </c>
      <c r="G160" s="10"/>
      <c r="H160" s="1">
        <v>563</v>
      </c>
      <c r="I160" s="1">
        <v>510</v>
      </c>
      <c r="J160" s="1">
        <v>510</v>
      </c>
      <c r="K160" s="2">
        <v>1.51</v>
      </c>
      <c r="L160">
        <v>510</v>
      </c>
      <c r="M160">
        <v>510</v>
      </c>
      <c r="N160">
        <v>510</v>
      </c>
      <c r="O160">
        <v>510</v>
      </c>
      <c r="P160">
        <v>510</v>
      </c>
      <c r="S160">
        <v>510</v>
      </c>
      <c r="T160">
        <v>511.4</v>
      </c>
      <c r="U160" s="17">
        <v>3.88878922</v>
      </c>
      <c r="V160" s="60">
        <v>515</v>
      </c>
      <c r="W160" s="60">
        <v>516</v>
      </c>
      <c r="X160" s="60">
        <v>515</v>
      </c>
      <c r="Y160" s="60">
        <v>515</v>
      </c>
      <c r="Z160" s="60">
        <v>517</v>
      </c>
    </row>
    <row r="161" spans="1:26" x14ac:dyDescent="0.6">
      <c r="A161" s="6" t="s">
        <v>564</v>
      </c>
      <c r="B161" s="10">
        <v>15</v>
      </c>
      <c r="C161" s="13" t="s">
        <v>973</v>
      </c>
      <c r="D161" s="13" t="s">
        <v>978</v>
      </c>
      <c r="E161" s="13" t="s">
        <v>982</v>
      </c>
      <c r="F161" s="10">
        <v>10</v>
      </c>
      <c r="G161" s="10"/>
      <c r="H161" s="1">
        <v>653</v>
      </c>
      <c r="I161" s="1">
        <v>526</v>
      </c>
      <c r="J161" s="1">
        <v>526</v>
      </c>
      <c r="K161" s="2">
        <v>1.51</v>
      </c>
      <c r="L161">
        <v>526</v>
      </c>
      <c r="M161">
        <v>526</v>
      </c>
      <c r="N161">
        <v>526</v>
      </c>
      <c r="O161">
        <v>526</v>
      </c>
      <c r="P161">
        <v>526</v>
      </c>
      <c r="S161">
        <v>528</v>
      </c>
      <c r="T161">
        <v>529.79999999999995</v>
      </c>
      <c r="U161" s="17">
        <v>3.7423612999999998</v>
      </c>
      <c r="V161" s="60">
        <v>534</v>
      </c>
      <c r="W161" s="60">
        <v>532</v>
      </c>
      <c r="X161" s="60">
        <v>533</v>
      </c>
      <c r="Y161" s="60">
        <v>534</v>
      </c>
      <c r="Z161" s="60">
        <v>533</v>
      </c>
    </row>
    <row r="162" spans="1:26" x14ac:dyDescent="0.6">
      <c r="A162" s="3" t="s">
        <v>565</v>
      </c>
      <c r="B162" s="10">
        <v>20</v>
      </c>
      <c r="C162" s="12" t="s">
        <v>971</v>
      </c>
      <c r="D162" s="13" t="s">
        <v>977</v>
      </c>
      <c r="E162" s="13" t="s">
        <v>981</v>
      </c>
      <c r="F162" s="10">
        <v>1</v>
      </c>
      <c r="G162" s="4"/>
      <c r="H162" s="1">
        <v>430</v>
      </c>
      <c r="I162" s="1">
        <v>386</v>
      </c>
      <c r="J162" s="1">
        <v>386</v>
      </c>
      <c r="K162" s="2">
        <v>2.0099999999999998</v>
      </c>
      <c r="L162">
        <v>386</v>
      </c>
      <c r="M162">
        <v>386</v>
      </c>
      <c r="N162">
        <v>386</v>
      </c>
      <c r="O162">
        <v>386</v>
      </c>
      <c r="P162">
        <v>386</v>
      </c>
      <c r="S162">
        <v>387</v>
      </c>
      <c r="T162">
        <v>390</v>
      </c>
      <c r="U162" s="17">
        <v>5.2605517199999996</v>
      </c>
      <c r="V162" s="60">
        <v>398</v>
      </c>
      <c r="W162" s="60">
        <v>400</v>
      </c>
      <c r="X162" s="60">
        <v>398</v>
      </c>
      <c r="Y162" s="60">
        <v>400</v>
      </c>
      <c r="Z162" s="60">
        <v>398</v>
      </c>
    </row>
    <row r="163" spans="1:26" x14ac:dyDescent="0.6">
      <c r="A163" s="6" t="s">
        <v>566</v>
      </c>
      <c r="B163" s="10">
        <v>20</v>
      </c>
      <c r="C163" s="12" t="s">
        <v>972</v>
      </c>
      <c r="D163" s="13" t="s">
        <v>977</v>
      </c>
      <c r="E163" s="13" t="s">
        <v>983</v>
      </c>
      <c r="F163" s="10">
        <v>2</v>
      </c>
      <c r="G163" s="10"/>
      <c r="H163" s="1">
        <v>442</v>
      </c>
      <c r="I163" s="1">
        <v>369</v>
      </c>
      <c r="J163" s="1">
        <v>369</v>
      </c>
      <c r="K163" s="2">
        <v>2.0099999999999998</v>
      </c>
      <c r="L163">
        <v>369</v>
      </c>
      <c r="M163">
        <v>369</v>
      </c>
      <c r="N163">
        <v>369</v>
      </c>
      <c r="O163">
        <v>369</v>
      </c>
      <c r="P163">
        <v>369</v>
      </c>
      <c r="S163">
        <v>370</v>
      </c>
      <c r="T163">
        <v>374</v>
      </c>
      <c r="U163" s="17">
        <v>5.0509963999999998</v>
      </c>
      <c r="V163" s="60">
        <v>381</v>
      </c>
      <c r="W163" s="60">
        <v>381</v>
      </c>
      <c r="X163" s="60">
        <v>382</v>
      </c>
      <c r="Y163" s="60">
        <v>384</v>
      </c>
      <c r="Z163" s="60">
        <v>382</v>
      </c>
    </row>
    <row r="164" spans="1:26" x14ac:dyDescent="0.6">
      <c r="A164" s="3" t="s">
        <v>567</v>
      </c>
      <c r="B164" s="10">
        <v>20</v>
      </c>
      <c r="C164" s="12" t="s">
        <v>970</v>
      </c>
      <c r="D164" s="13" t="s">
        <v>976</v>
      </c>
      <c r="E164" s="13" t="s">
        <v>980</v>
      </c>
      <c r="F164" s="10">
        <v>3</v>
      </c>
      <c r="G164" s="4"/>
      <c r="H164" s="1">
        <v>529</v>
      </c>
      <c r="I164" s="1">
        <v>385</v>
      </c>
      <c r="J164" s="1">
        <v>385</v>
      </c>
      <c r="K164" s="2">
        <v>2.0099999999999998</v>
      </c>
      <c r="L164">
        <v>385</v>
      </c>
      <c r="M164">
        <v>385</v>
      </c>
      <c r="N164">
        <v>385</v>
      </c>
      <c r="O164">
        <v>385</v>
      </c>
      <c r="P164">
        <v>385</v>
      </c>
      <c r="S164">
        <v>386</v>
      </c>
      <c r="T164">
        <v>388.4</v>
      </c>
      <c r="U164" s="17">
        <v>5.2110435400000004</v>
      </c>
      <c r="V164" s="60">
        <v>397</v>
      </c>
      <c r="W164" s="60">
        <v>398</v>
      </c>
      <c r="X164" s="60">
        <v>397</v>
      </c>
      <c r="Y164" s="60">
        <v>398</v>
      </c>
      <c r="Z164" s="60">
        <v>396</v>
      </c>
    </row>
    <row r="165" spans="1:26" x14ac:dyDescent="0.6">
      <c r="A165" s="6" t="s">
        <v>568</v>
      </c>
      <c r="B165" s="10">
        <v>20</v>
      </c>
      <c r="C165" s="12" t="s">
        <v>970</v>
      </c>
      <c r="D165" s="13" t="s">
        <v>976</v>
      </c>
      <c r="E165" s="13" t="s">
        <v>980</v>
      </c>
      <c r="F165" s="10">
        <v>4</v>
      </c>
      <c r="G165" s="10"/>
      <c r="H165" s="1">
        <v>468</v>
      </c>
      <c r="I165" s="1">
        <v>395</v>
      </c>
      <c r="J165" s="1">
        <v>395.8</v>
      </c>
      <c r="K165" s="2">
        <v>2.0099999999999998</v>
      </c>
      <c r="L165">
        <v>395</v>
      </c>
      <c r="M165">
        <v>396</v>
      </c>
      <c r="N165">
        <v>396</v>
      </c>
      <c r="O165">
        <v>396</v>
      </c>
      <c r="P165">
        <v>396</v>
      </c>
      <c r="S165">
        <v>399</v>
      </c>
      <c r="T165">
        <v>401</v>
      </c>
      <c r="U165" s="17">
        <v>4.9347675999999998</v>
      </c>
      <c r="V165" s="60">
        <v>407</v>
      </c>
      <c r="W165" s="60">
        <v>410</v>
      </c>
      <c r="X165" s="60">
        <v>410</v>
      </c>
      <c r="Y165" s="60">
        <v>409</v>
      </c>
      <c r="Z165" s="60">
        <v>407</v>
      </c>
    </row>
    <row r="166" spans="1:26" x14ac:dyDescent="0.6">
      <c r="A166" s="6" t="s">
        <v>569</v>
      </c>
      <c r="B166" s="10">
        <v>20</v>
      </c>
      <c r="C166" s="12" t="s">
        <v>970</v>
      </c>
      <c r="D166" s="13" t="s">
        <v>976</v>
      </c>
      <c r="E166" s="13" t="s">
        <v>980</v>
      </c>
      <c r="F166" s="10">
        <v>5</v>
      </c>
      <c r="G166" s="10"/>
      <c r="H166" s="1">
        <v>523</v>
      </c>
      <c r="I166" s="1">
        <v>375</v>
      </c>
      <c r="J166" s="1">
        <v>375</v>
      </c>
      <c r="K166" s="2">
        <v>2.0099999999999998</v>
      </c>
      <c r="L166">
        <v>375</v>
      </c>
      <c r="M166">
        <v>375</v>
      </c>
      <c r="N166">
        <v>375</v>
      </c>
      <c r="O166">
        <v>375</v>
      </c>
      <c r="P166">
        <v>375</v>
      </c>
      <c r="S166">
        <v>377</v>
      </c>
      <c r="T166">
        <v>380.6</v>
      </c>
      <c r="U166" s="17">
        <v>5.4193501199999998</v>
      </c>
      <c r="V166" s="60">
        <v>390</v>
      </c>
      <c r="W166" s="60">
        <v>392</v>
      </c>
      <c r="X166" s="60">
        <v>390</v>
      </c>
      <c r="Y166" s="60">
        <v>391</v>
      </c>
      <c r="Z166" s="60">
        <v>390</v>
      </c>
    </row>
    <row r="167" spans="1:26" x14ac:dyDescent="0.6">
      <c r="A167" s="6" t="s">
        <v>570</v>
      </c>
      <c r="B167" s="10">
        <v>20</v>
      </c>
      <c r="C167" s="12" t="s">
        <v>970</v>
      </c>
      <c r="D167" s="13" t="s">
        <v>976</v>
      </c>
      <c r="E167" s="13" t="s">
        <v>980</v>
      </c>
      <c r="F167" s="10">
        <v>6</v>
      </c>
      <c r="G167" s="10"/>
      <c r="H167" s="1">
        <v>520</v>
      </c>
      <c r="I167" s="1">
        <v>415</v>
      </c>
      <c r="J167" s="1">
        <v>415</v>
      </c>
      <c r="K167" s="2">
        <v>2.0099999999999998</v>
      </c>
      <c r="L167">
        <v>415</v>
      </c>
      <c r="M167">
        <v>415</v>
      </c>
      <c r="N167">
        <v>415</v>
      </c>
      <c r="O167">
        <v>415</v>
      </c>
      <c r="P167">
        <v>415</v>
      </c>
      <c r="S167">
        <v>419</v>
      </c>
      <c r="T167">
        <v>421</v>
      </c>
      <c r="U167" s="17">
        <v>5.1572910399999996</v>
      </c>
      <c r="V167" s="60">
        <v>429</v>
      </c>
      <c r="W167" s="60">
        <v>427</v>
      </c>
      <c r="X167" s="60">
        <v>430</v>
      </c>
      <c r="Y167" s="60">
        <v>426</v>
      </c>
      <c r="Z167" s="60">
        <v>431</v>
      </c>
    </row>
    <row r="168" spans="1:26" x14ac:dyDescent="0.6">
      <c r="A168" s="3" t="s">
        <v>571</v>
      </c>
      <c r="B168" s="10">
        <v>20</v>
      </c>
      <c r="C168" s="12" t="s">
        <v>970</v>
      </c>
      <c r="D168" s="13" t="s">
        <v>976</v>
      </c>
      <c r="E168" s="13" t="s">
        <v>980</v>
      </c>
      <c r="F168" s="10">
        <v>7</v>
      </c>
      <c r="G168" s="4"/>
      <c r="H168" s="1">
        <v>457</v>
      </c>
      <c r="I168" s="1">
        <v>396</v>
      </c>
      <c r="J168" s="1">
        <v>396</v>
      </c>
      <c r="K168" s="2">
        <v>2.0099999999999998</v>
      </c>
      <c r="L168">
        <v>396</v>
      </c>
      <c r="M168">
        <v>396</v>
      </c>
      <c r="N168">
        <v>396</v>
      </c>
      <c r="O168">
        <v>396</v>
      </c>
      <c r="P168">
        <v>396</v>
      </c>
      <c r="S168">
        <v>399</v>
      </c>
      <c r="T168">
        <v>400.4</v>
      </c>
      <c r="U168" s="17">
        <v>5.0410669800000001</v>
      </c>
      <c r="V168" s="60">
        <v>409</v>
      </c>
      <c r="W168" s="60">
        <v>406</v>
      </c>
      <c r="X168" s="60">
        <v>409</v>
      </c>
      <c r="Y168" s="60">
        <v>408</v>
      </c>
      <c r="Z168" s="60">
        <v>408</v>
      </c>
    </row>
    <row r="169" spans="1:26" x14ac:dyDescent="0.6">
      <c r="A169" s="6" t="s">
        <v>572</v>
      </c>
      <c r="B169" s="10">
        <v>20</v>
      </c>
      <c r="C169" s="12" t="s">
        <v>970</v>
      </c>
      <c r="D169" s="13" t="s">
        <v>976</v>
      </c>
      <c r="E169" s="13" t="s">
        <v>980</v>
      </c>
      <c r="F169" s="10">
        <v>8</v>
      </c>
      <c r="G169" s="10"/>
      <c r="H169" s="1">
        <v>496</v>
      </c>
      <c r="I169" s="1">
        <v>388</v>
      </c>
      <c r="J169" s="1">
        <v>388.2</v>
      </c>
      <c r="K169" s="2">
        <v>2.0099999999999998</v>
      </c>
      <c r="L169">
        <v>388</v>
      </c>
      <c r="M169">
        <v>388</v>
      </c>
      <c r="N169">
        <v>389</v>
      </c>
      <c r="O169">
        <v>388</v>
      </c>
      <c r="P169">
        <v>388</v>
      </c>
      <c r="S169">
        <v>392</v>
      </c>
      <c r="T169">
        <v>394.4</v>
      </c>
      <c r="U169" s="17">
        <v>5.3332699000000003</v>
      </c>
      <c r="V169" s="60">
        <v>401</v>
      </c>
      <c r="W169" s="60">
        <v>404</v>
      </c>
      <c r="X169" s="60">
        <v>402</v>
      </c>
      <c r="Y169" s="60">
        <v>403</v>
      </c>
      <c r="Z169" s="60">
        <v>403</v>
      </c>
    </row>
    <row r="170" spans="1:26" x14ac:dyDescent="0.6">
      <c r="A170" s="6" t="s">
        <v>573</v>
      </c>
      <c r="B170" s="10">
        <v>20</v>
      </c>
      <c r="C170" s="12" t="s">
        <v>970</v>
      </c>
      <c r="D170" s="13" t="s">
        <v>976</v>
      </c>
      <c r="E170" s="13" t="s">
        <v>980</v>
      </c>
      <c r="F170" s="10">
        <v>9</v>
      </c>
      <c r="G170" s="10"/>
      <c r="H170" s="1">
        <v>498</v>
      </c>
      <c r="I170" s="1">
        <v>406</v>
      </c>
      <c r="J170" s="1">
        <v>406</v>
      </c>
      <c r="K170" s="2">
        <v>2.0099999999999998</v>
      </c>
      <c r="L170">
        <v>406</v>
      </c>
      <c r="M170">
        <v>406</v>
      </c>
      <c r="N170">
        <v>406</v>
      </c>
      <c r="O170">
        <v>406</v>
      </c>
      <c r="P170">
        <v>406</v>
      </c>
      <c r="S170">
        <v>406</v>
      </c>
      <c r="T170">
        <v>411.2</v>
      </c>
      <c r="U170" s="17">
        <v>6.2450918599999996</v>
      </c>
      <c r="V170" s="60">
        <v>423</v>
      </c>
      <c r="W170" s="60">
        <v>420</v>
      </c>
      <c r="X170" s="60">
        <v>420</v>
      </c>
      <c r="Y170" s="60">
        <v>427</v>
      </c>
      <c r="Z170" s="60">
        <v>429</v>
      </c>
    </row>
    <row r="171" spans="1:26" x14ac:dyDescent="0.6">
      <c r="A171" s="6" t="s">
        <v>574</v>
      </c>
      <c r="B171" s="10">
        <v>20</v>
      </c>
      <c r="C171" s="12" t="s">
        <v>970</v>
      </c>
      <c r="D171" s="13" t="s">
        <v>976</v>
      </c>
      <c r="E171" s="13" t="s">
        <v>980</v>
      </c>
      <c r="F171" s="10">
        <v>10</v>
      </c>
      <c r="G171" s="10"/>
      <c r="H171" s="1">
        <v>467</v>
      </c>
      <c r="I171" s="1">
        <v>393</v>
      </c>
      <c r="J171" s="1">
        <v>393</v>
      </c>
      <c r="K171" s="2">
        <v>2.0099999999999998</v>
      </c>
      <c r="L171">
        <v>393</v>
      </c>
      <c r="M171">
        <v>393</v>
      </c>
      <c r="N171">
        <v>393</v>
      </c>
      <c r="O171">
        <v>393</v>
      </c>
      <c r="P171">
        <v>393</v>
      </c>
      <c r="S171">
        <v>398</v>
      </c>
      <c r="T171">
        <v>400.6</v>
      </c>
      <c r="U171" s="17">
        <v>5.1286061600000004</v>
      </c>
      <c r="V171" s="60">
        <v>406</v>
      </c>
      <c r="W171" s="60">
        <v>407</v>
      </c>
      <c r="X171" s="60">
        <v>405</v>
      </c>
      <c r="Y171" s="60">
        <v>405</v>
      </c>
      <c r="Z171" s="60">
        <v>406</v>
      </c>
    </row>
    <row r="172" spans="1:26" x14ac:dyDescent="0.6">
      <c r="A172" s="6" t="s">
        <v>575</v>
      </c>
      <c r="B172" s="10">
        <v>20</v>
      </c>
      <c r="C172" s="12" t="s">
        <v>970</v>
      </c>
      <c r="D172" s="13" t="s">
        <v>976</v>
      </c>
      <c r="E172" s="13" t="s">
        <v>984</v>
      </c>
      <c r="F172" s="10">
        <v>1</v>
      </c>
      <c r="G172" s="10"/>
      <c r="H172" s="1">
        <v>463</v>
      </c>
      <c r="I172" s="1">
        <v>386</v>
      </c>
      <c r="J172" s="1">
        <v>386</v>
      </c>
      <c r="K172" s="2">
        <v>2.0099999999999998</v>
      </c>
      <c r="L172">
        <v>386</v>
      </c>
      <c r="M172">
        <v>386</v>
      </c>
      <c r="N172">
        <v>386</v>
      </c>
      <c r="O172">
        <v>386</v>
      </c>
      <c r="P172">
        <v>386</v>
      </c>
      <c r="S172">
        <v>390</v>
      </c>
      <c r="T172">
        <v>391</v>
      </c>
      <c r="U172" s="17">
        <v>5.2343409000000003</v>
      </c>
      <c r="V172" s="60">
        <v>400</v>
      </c>
      <c r="W172" s="60">
        <v>402</v>
      </c>
      <c r="X172" s="60">
        <v>402</v>
      </c>
      <c r="Y172" s="60">
        <v>403</v>
      </c>
      <c r="Z172" s="60">
        <v>399</v>
      </c>
    </row>
    <row r="173" spans="1:26" x14ac:dyDescent="0.6">
      <c r="A173" s="3" t="s">
        <v>576</v>
      </c>
      <c r="B173" s="10">
        <v>20</v>
      </c>
      <c r="C173" s="12" t="s">
        <v>970</v>
      </c>
      <c r="D173" s="13" t="s">
        <v>976</v>
      </c>
      <c r="E173" s="13" t="s">
        <v>985</v>
      </c>
      <c r="F173" s="10">
        <v>2</v>
      </c>
      <c r="G173" s="4"/>
      <c r="H173" s="1">
        <v>519</v>
      </c>
      <c r="I173" s="1">
        <v>369</v>
      </c>
      <c r="J173" s="1">
        <v>369.4</v>
      </c>
      <c r="K173" s="2">
        <v>2.0099999999999998</v>
      </c>
      <c r="L173">
        <v>369</v>
      </c>
      <c r="M173">
        <v>370</v>
      </c>
      <c r="N173">
        <v>369</v>
      </c>
      <c r="O173">
        <v>370</v>
      </c>
      <c r="P173">
        <v>369</v>
      </c>
      <c r="S173">
        <v>372</v>
      </c>
      <c r="T173">
        <v>374.2</v>
      </c>
      <c r="U173" s="17">
        <v>5.0954650399999997</v>
      </c>
      <c r="V173" s="60">
        <v>383</v>
      </c>
      <c r="W173" s="60">
        <v>380</v>
      </c>
      <c r="X173" s="60">
        <v>385</v>
      </c>
      <c r="Y173" s="60">
        <v>380</v>
      </c>
      <c r="Z173" s="60">
        <v>383</v>
      </c>
    </row>
    <row r="174" spans="1:26" x14ac:dyDescent="0.6">
      <c r="A174" s="3" t="s">
        <v>577</v>
      </c>
      <c r="B174" s="10">
        <v>20</v>
      </c>
      <c r="C174" s="12" t="s">
        <v>970</v>
      </c>
      <c r="D174" s="13" t="s">
        <v>976</v>
      </c>
      <c r="E174" s="13" t="s">
        <v>982</v>
      </c>
      <c r="F174" s="10">
        <v>3</v>
      </c>
      <c r="G174" s="4"/>
      <c r="H174" s="1">
        <v>629</v>
      </c>
      <c r="I174" s="1">
        <v>385</v>
      </c>
      <c r="J174" s="1">
        <v>385</v>
      </c>
      <c r="K174" s="2">
        <v>2</v>
      </c>
      <c r="L174">
        <v>385</v>
      </c>
      <c r="M174">
        <v>385</v>
      </c>
      <c r="N174">
        <v>385</v>
      </c>
      <c r="O174">
        <v>385</v>
      </c>
      <c r="P174">
        <v>385</v>
      </c>
      <c r="S174">
        <v>387</v>
      </c>
      <c r="T174">
        <v>389.2</v>
      </c>
      <c r="U174" s="17">
        <v>5.3709070399999996</v>
      </c>
      <c r="V174" s="60">
        <v>401</v>
      </c>
      <c r="W174" s="60">
        <v>399</v>
      </c>
      <c r="X174" s="60">
        <v>401</v>
      </c>
      <c r="Y174" s="60">
        <v>400</v>
      </c>
      <c r="Z174" s="60">
        <v>400</v>
      </c>
    </row>
    <row r="175" spans="1:26" x14ac:dyDescent="0.6">
      <c r="A175" s="6" t="s">
        <v>578</v>
      </c>
      <c r="B175" s="10">
        <v>20</v>
      </c>
      <c r="C175" s="12" t="s">
        <v>970</v>
      </c>
      <c r="D175" s="13" t="s">
        <v>976</v>
      </c>
      <c r="E175" s="13" t="s">
        <v>982</v>
      </c>
      <c r="F175" s="10">
        <v>4</v>
      </c>
      <c r="G175" s="10"/>
      <c r="H175" s="1">
        <v>548</v>
      </c>
      <c r="I175" s="1">
        <v>396</v>
      </c>
      <c r="J175" s="1">
        <v>396</v>
      </c>
      <c r="K175" s="2">
        <v>2.0099999999999998</v>
      </c>
      <c r="L175">
        <v>396</v>
      </c>
      <c r="M175">
        <v>396</v>
      </c>
      <c r="N175">
        <v>396</v>
      </c>
      <c r="O175">
        <v>396</v>
      </c>
      <c r="P175">
        <v>396</v>
      </c>
      <c r="S175">
        <v>400</v>
      </c>
      <c r="T175">
        <v>402.6</v>
      </c>
      <c r="U175" s="17">
        <v>4.9389656999999998</v>
      </c>
      <c r="V175" s="60">
        <v>410</v>
      </c>
      <c r="W175" s="60">
        <v>410</v>
      </c>
      <c r="X175" s="60">
        <v>410</v>
      </c>
      <c r="Y175" s="60">
        <v>412</v>
      </c>
      <c r="Z175" s="60">
        <v>411</v>
      </c>
    </row>
    <row r="176" spans="1:26" x14ac:dyDescent="0.6">
      <c r="A176" s="3" t="s">
        <v>579</v>
      </c>
      <c r="B176" s="10">
        <v>20</v>
      </c>
      <c r="C176" s="12" t="s">
        <v>970</v>
      </c>
      <c r="D176" s="13" t="s">
        <v>976</v>
      </c>
      <c r="E176" s="13" t="s">
        <v>982</v>
      </c>
      <c r="F176" s="10">
        <v>5</v>
      </c>
      <c r="G176" s="4"/>
      <c r="H176" s="1">
        <v>623</v>
      </c>
      <c r="I176" s="1">
        <v>375</v>
      </c>
      <c r="J176" s="1">
        <v>375.6</v>
      </c>
      <c r="K176" s="2">
        <v>2.0099999999999998</v>
      </c>
      <c r="L176">
        <v>375</v>
      </c>
      <c r="M176">
        <v>375</v>
      </c>
      <c r="N176">
        <v>376</v>
      </c>
      <c r="O176">
        <v>376</v>
      </c>
      <c r="P176">
        <v>376</v>
      </c>
      <c r="S176">
        <v>380</v>
      </c>
      <c r="T176">
        <v>383.2</v>
      </c>
      <c r="U176" s="17">
        <v>5.0490368200000004</v>
      </c>
      <c r="V176" s="60">
        <v>394</v>
      </c>
      <c r="W176" s="60">
        <v>391</v>
      </c>
      <c r="X176" s="60">
        <v>392</v>
      </c>
      <c r="Y176" s="60">
        <v>396</v>
      </c>
      <c r="Z176" s="60">
        <v>394</v>
      </c>
    </row>
    <row r="177" spans="1:26" x14ac:dyDescent="0.6">
      <c r="A177" s="3" t="s">
        <v>580</v>
      </c>
      <c r="B177" s="10">
        <v>20</v>
      </c>
      <c r="C177" s="12" t="s">
        <v>970</v>
      </c>
      <c r="D177" s="13" t="s">
        <v>976</v>
      </c>
      <c r="E177" s="13" t="s">
        <v>982</v>
      </c>
      <c r="F177" s="10">
        <v>6</v>
      </c>
      <c r="G177" s="4"/>
      <c r="H177" s="1">
        <v>600</v>
      </c>
      <c r="I177" s="1">
        <v>415</v>
      </c>
      <c r="J177" s="1">
        <v>415</v>
      </c>
      <c r="K177" s="2">
        <v>2.0099999999999998</v>
      </c>
      <c r="L177">
        <v>415</v>
      </c>
      <c r="M177">
        <v>415</v>
      </c>
      <c r="N177">
        <v>415</v>
      </c>
      <c r="O177">
        <v>415</v>
      </c>
      <c r="P177">
        <v>415</v>
      </c>
      <c r="S177">
        <v>418</v>
      </c>
      <c r="T177">
        <v>421.8</v>
      </c>
      <c r="U177" s="17">
        <v>5.0519981600000001</v>
      </c>
      <c r="V177" s="60">
        <v>432</v>
      </c>
      <c r="W177" s="60">
        <v>432</v>
      </c>
      <c r="X177" s="60">
        <v>433</v>
      </c>
      <c r="Y177" s="60">
        <v>430</v>
      </c>
      <c r="Z177" s="60">
        <v>430</v>
      </c>
    </row>
    <row r="178" spans="1:26" x14ac:dyDescent="0.6">
      <c r="A178" s="3" t="s">
        <v>581</v>
      </c>
      <c r="B178" s="10">
        <v>20</v>
      </c>
      <c r="C178" s="12" t="s">
        <v>970</v>
      </c>
      <c r="D178" s="13" t="s">
        <v>976</v>
      </c>
      <c r="E178" s="13" t="s">
        <v>982</v>
      </c>
      <c r="F178" s="10">
        <v>7</v>
      </c>
      <c r="G178" s="4"/>
      <c r="H178" s="1">
        <v>517</v>
      </c>
      <c r="I178" s="1">
        <v>396</v>
      </c>
      <c r="J178" s="1">
        <v>396</v>
      </c>
      <c r="K178" s="2">
        <v>2.0099999999999998</v>
      </c>
      <c r="L178">
        <v>396</v>
      </c>
      <c r="M178">
        <v>396</v>
      </c>
      <c r="N178">
        <v>396</v>
      </c>
      <c r="O178">
        <v>396</v>
      </c>
      <c r="P178">
        <v>396</v>
      </c>
      <c r="S178">
        <v>400</v>
      </c>
      <c r="T178">
        <v>401.4</v>
      </c>
      <c r="U178" s="17">
        <v>5.0223821800000001</v>
      </c>
      <c r="V178" s="60">
        <v>409</v>
      </c>
      <c r="W178" s="60">
        <v>408</v>
      </c>
      <c r="X178" s="60">
        <v>407</v>
      </c>
      <c r="Y178" s="60">
        <v>410</v>
      </c>
      <c r="Z178" s="60">
        <v>409</v>
      </c>
    </row>
    <row r="179" spans="1:26" x14ac:dyDescent="0.6">
      <c r="A179" s="3" t="s">
        <v>582</v>
      </c>
      <c r="B179" s="10">
        <v>20</v>
      </c>
      <c r="C179" s="12" t="s">
        <v>970</v>
      </c>
      <c r="D179" s="13" t="s">
        <v>976</v>
      </c>
      <c r="E179" s="13" t="s">
        <v>982</v>
      </c>
      <c r="F179" s="10">
        <v>8</v>
      </c>
      <c r="G179" s="4"/>
      <c r="H179" s="1">
        <v>596</v>
      </c>
      <c r="I179" s="1">
        <v>390</v>
      </c>
      <c r="J179" s="1">
        <v>390</v>
      </c>
      <c r="K179" s="2">
        <v>2.0099999999999998</v>
      </c>
      <c r="L179">
        <v>390</v>
      </c>
      <c r="M179">
        <v>390</v>
      </c>
      <c r="N179">
        <v>390</v>
      </c>
      <c r="O179">
        <v>390</v>
      </c>
      <c r="P179">
        <v>390</v>
      </c>
      <c r="S179">
        <v>392</v>
      </c>
      <c r="T179">
        <v>394.8</v>
      </c>
      <c r="U179" s="17">
        <v>5.42935342</v>
      </c>
      <c r="V179" s="60">
        <v>406</v>
      </c>
      <c r="W179" s="60">
        <v>406</v>
      </c>
      <c r="X179" s="60">
        <v>407</v>
      </c>
      <c r="Y179" s="60">
        <v>408</v>
      </c>
      <c r="Z179" s="60">
        <v>406</v>
      </c>
    </row>
    <row r="180" spans="1:26" x14ac:dyDescent="0.6">
      <c r="A180" s="3" t="s">
        <v>583</v>
      </c>
      <c r="B180" s="10">
        <v>20</v>
      </c>
      <c r="C180" s="12" t="s">
        <v>970</v>
      </c>
      <c r="D180" s="13" t="s">
        <v>976</v>
      </c>
      <c r="E180" s="13" t="s">
        <v>982</v>
      </c>
      <c r="F180" s="10">
        <v>9</v>
      </c>
      <c r="G180" s="4"/>
      <c r="H180" s="1">
        <v>576</v>
      </c>
      <c r="I180" s="1">
        <v>414</v>
      </c>
      <c r="J180" s="1">
        <v>414</v>
      </c>
      <c r="K180" s="2">
        <v>2.0099999999999998</v>
      </c>
      <c r="L180">
        <v>414</v>
      </c>
      <c r="M180">
        <v>414</v>
      </c>
      <c r="N180">
        <v>414</v>
      </c>
      <c r="O180">
        <v>414</v>
      </c>
      <c r="P180">
        <v>414</v>
      </c>
      <c r="S180">
        <v>416</v>
      </c>
      <c r="T180">
        <v>419.2</v>
      </c>
      <c r="U180" s="17">
        <v>6.4364249999999998</v>
      </c>
      <c r="V180" s="60">
        <v>471</v>
      </c>
      <c r="W180" s="60">
        <v>457</v>
      </c>
      <c r="X180" s="60">
        <v>451</v>
      </c>
      <c r="Y180" s="60">
        <v>456</v>
      </c>
      <c r="Z180" s="60">
        <v>469</v>
      </c>
    </row>
    <row r="181" spans="1:26" x14ac:dyDescent="0.6">
      <c r="A181" s="6" t="s">
        <v>584</v>
      </c>
      <c r="B181" s="10">
        <v>20</v>
      </c>
      <c r="C181" s="12" t="s">
        <v>970</v>
      </c>
      <c r="D181" s="13" t="s">
        <v>976</v>
      </c>
      <c r="E181" s="13" t="s">
        <v>982</v>
      </c>
      <c r="F181" s="10">
        <v>10</v>
      </c>
      <c r="G181" s="10"/>
      <c r="H181" s="1">
        <v>547</v>
      </c>
      <c r="I181" s="1">
        <v>393</v>
      </c>
      <c r="J181" s="1">
        <v>393</v>
      </c>
      <c r="K181" s="2">
        <v>2.0099999999999998</v>
      </c>
      <c r="L181">
        <v>393</v>
      </c>
      <c r="M181">
        <v>393</v>
      </c>
      <c r="N181">
        <v>393</v>
      </c>
      <c r="O181">
        <v>393</v>
      </c>
      <c r="P181">
        <v>393</v>
      </c>
      <c r="S181">
        <v>398</v>
      </c>
      <c r="T181">
        <v>399.6</v>
      </c>
      <c r="U181" s="17">
        <v>5.0807165999999997</v>
      </c>
      <c r="V181" s="60">
        <v>408</v>
      </c>
      <c r="W181" s="60">
        <v>410</v>
      </c>
      <c r="X181" s="60">
        <v>410</v>
      </c>
      <c r="Y181" s="60">
        <v>406</v>
      </c>
      <c r="Z181" s="60">
        <v>410</v>
      </c>
    </row>
    <row r="182" spans="1:26" x14ac:dyDescent="0.6">
      <c r="A182" s="6" t="s">
        <v>585</v>
      </c>
      <c r="B182" s="10">
        <v>20</v>
      </c>
      <c r="C182" s="12" t="s">
        <v>970</v>
      </c>
      <c r="D182" s="13" t="s">
        <v>979</v>
      </c>
      <c r="E182" s="13" t="s">
        <v>981</v>
      </c>
      <c r="F182" s="10">
        <v>1</v>
      </c>
      <c r="G182" s="10"/>
      <c r="H182" s="1">
        <v>520</v>
      </c>
      <c r="I182" s="1">
        <v>481</v>
      </c>
      <c r="J182" s="1">
        <v>481</v>
      </c>
      <c r="K182" s="2">
        <v>2.0099999999999998</v>
      </c>
      <c r="L182">
        <v>481</v>
      </c>
      <c r="M182">
        <v>481</v>
      </c>
      <c r="N182">
        <v>481</v>
      </c>
      <c r="O182">
        <v>481</v>
      </c>
      <c r="P182">
        <v>481</v>
      </c>
      <c r="S182">
        <v>484</v>
      </c>
      <c r="T182">
        <v>487.4</v>
      </c>
      <c r="U182" s="17">
        <v>5.14467944</v>
      </c>
      <c r="V182" s="60">
        <v>494</v>
      </c>
      <c r="W182" s="60">
        <v>493</v>
      </c>
      <c r="X182" s="60">
        <v>493</v>
      </c>
      <c r="Y182" s="60">
        <v>493</v>
      </c>
      <c r="Z182" s="60">
        <v>492</v>
      </c>
    </row>
    <row r="183" spans="1:26" x14ac:dyDescent="0.6">
      <c r="A183" s="6" t="s">
        <v>586</v>
      </c>
      <c r="B183" s="10">
        <v>20</v>
      </c>
      <c r="C183" s="12" t="s">
        <v>970</v>
      </c>
      <c r="D183" s="13" t="s">
        <v>979</v>
      </c>
      <c r="E183" s="13" t="s">
        <v>983</v>
      </c>
      <c r="F183" s="10">
        <v>2</v>
      </c>
      <c r="G183" s="10"/>
      <c r="H183" s="1">
        <v>525</v>
      </c>
      <c r="I183" s="1">
        <v>464</v>
      </c>
      <c r="J183" s="1">
        <v>464</v>
      </c>
      <c r="K183" s="2">
        <v>2.0099999999999998</v>
      </c>
      <c r="L183">
        <v>464</v>
      </c>
      <c r="M183">
        <v>464</v>
      </c>
      <c r="N183">
        <v>464</v>
      </c>
      <c r="O183">
        <v>464</v>
      </c>
      <c r="P183">
        <v>464</v>
      </c>
      <c r="S183">
        <v>467</v>
      </c>
      <c r="T183">
        <v>468.2</v>
      </c>
      <c r="U183" s="17">
        <v>5.0991895600000001</v>
      </c>
      <c r="V183" s="60">
        <v>476</v>
      </c>
      <c r="W183" s="60">
        <v>475</v>
      </c>
      <c r="X183" s="60">
        <v>477</v>
      </c>
      <c r="Y183" s="60">
        <v>475</v>
      </c>
      <c r="Z183" s="60">
        <v>476</v>
      </c>
    </row>
    <row r="184" spans="1:26" x14ac:dyDescent="0.6">
      <c r="A184" s="6" t="s">
        <v>587</v>
      </c>
      <c r="B184" s="10">
        <v>20</v>
      </c>
      <c r="C184" s="12" t="s">
        <v>970</v>
      </c>
      <c r="D184" s="13" t="s">
        <v>978</v>
      </c>
      <c r="E184" s="13" t="s">
        <v>980</v>
      </c>
      <c r="F184" s="10">
        <v>3</v>
      </c>
      <c r="G184" s="10"/>
      <c r="H184" s="1">
        <v>599</v>
      </c>
      <c r="I184" s="1">
        <v>479</v>
      </c>
      <c r="J184" s="1">
        <v>479</v>
      </c>
      <c r="K184" s="2">
        <v>2.0099999999999998</v>
      </c>
      <c r="L184">
        <v>479</v>
      </c>
      <c r="M184">
        <v>479</v>
      </c>
      <c r="N184">
        <v>479</v>
      </c>
      <c r="O184">
        <v>479</v>
      </c>
      <c r="P184">
        <v>479</v>
      </c>
      <c r="S184">
        <v>482</v>
      </c>
      <c r="T184">
        <v>484.8</v>
      </c>
      <c r="U184" s="17">
        <v>5.1751854599999998</v>
      </c>
      <c r="V184" s="60">
        <v>492</v>
      </c>
      <c r="W184" s="60">
        <v>491</v>
      </c>
      <c r="X184" s="60">
        <v>490</v>
      </c>
      <c r="Y184" s="60">
        <v>493</v>
      </c>
      <c r="Z184" s="60">
        <v>492</v>
      </c>
    </row>
    <row r="185" spans="1:26" x14ac:dyDescent="0.6">
      <c r="A185" s="6" t="s">
        <v>588</v>
      </c>
      <c r="B185" s="10">
        <v>20</v>
      </c>
      <c r="C185" s="12" t="s">
        <v>970</v>
      </c>
      <c r="D185" s="13" t="s">
        <v>978</v>
      </c>
      <c r="E185" s="13" t="s">
        <v>980</v>
      </c>
      <c r="F185" s="10">
        <v>4</v>
      </c>
      <c r="G185" s="10"/>
      <c r="H185" s="1">
        <v>547</v>
      </c>
      <c r="I185" s="1">
        <v>490</v>
      </c>
      <c r="J185" s="1">
        <v>490.6</v>
      </c>
      <c r="K185" s="2">
        <v>2.0099999999999998</v>
      </c>
      <c r="L185">
        <v>491</v>
      </c>
      <c r="M185">
        <v>490</v>
      </c>
      <c r="N185">
        <v>490</v>
      </c>
      <c r="O185">
        <v>491</v>
      </c>
      <c r="P185">
        <v>491</v>
      </c>
      <c r="S185">
        <v>492</v>
      </c>
      <c r="T185">
        <v>494.2</v>
      </c>
      <c r="U185" s="17">
        <v>4.85454308</v>
      </c>
      <c r="V185" s="60">
        <v>504</v>
      </c>
      <c r="W185" s="60">
        <v>505</v>
      </c>
      <c r="X185" s="60">
        <v>502</v>
      </c>
      <c r="Y185" s="60">
        <v>505</v>
      </c>
      <c r="Z185" s="60">
        <v>504</v>
      </c>
    </row>
    <row r="186" spans="1:26" x14ac:dyDescent="0.6">
      <c r="A186" s="6" t="s">
        <v>589</v>
      </c>
      <c r="B186" s="10">
        <v>20</v>
      </c>
      <c r="C186" s="12" t="s">
        <v>970</v>
      </c>
      <c r="D186" s="13" t="s">
        <v>978</v>
      </c>
      <c r="E186" s="13" t="s">
        <v>980</v>
      </c>
      <c r="F186" s="10">
        <v>5</v>
      </c>
      <c r="G186" s="10"/>
      <c r="H186" s="1">
        <v>593</v>
      </c>
      <c r="I186" s="1">
        <v>469</v>
      </c>
      <c r="J186" s="1">
        <v>469</v>
      </c>
      <c r="K186" s="2">
        <v>2.0099999999999998</v>
      </c>
      <c r="L186">
        <v>469</v>
      </c>
      <c r="M186">
        <v>469</v>
      </c>
      <c r="N186">
        <v>469</v>
      </c>
      <c r="O186">
        <v>469</v>
      </c>
      <c r="P186">
        <v>469</v>
      </c>
      <c r="S186">
        <v>473</v>
      </c>
      <c r="T186">
        <v>474.2</v>
      </c>
      <c r="U186" s="17">
        <v>5.1704769400000004</v>
      </c>
      <c r="V186" s="60">
        <v>476</v>
      </c>
      <c r="W186" s="60">
        <v>484</v>
      </c>
      <c r="X186" s="60">
        <v>483</v>
      </c>
      <c r="Y186" s="60">
        <v>485</v>
      </c>
      <c r="Z186" s="60">
        <v>483</v>
      </c>
    </row>
    <row r="187" spans="1:26" x14ac:dyDescent="0.6">
      <c r="A187" s="6" t="s">
        <v>590</v>
      </c>
      <c r="B187" s="10">
        <v>20</v>
      </c>
      <c r="C187" s="12" t="s">
        <v>970</v>
      </c>
      <c r="D187" s="13" t="s">
        <v>978</v>
      </c>
      <c r="E187" s="13" t="s">
        <v>980</v>
      </c>
      <c r="F187" s="10">
        <v>6</v>
      </c>
      <c r="G187" s="10"/>
      <c r="H187" s="1">
        <v>590</v>
      </c>
      <c r="I187" s="1">
        <v>510</v>
      </c>
      <c r="J187" s="1">
        <v>510</v>
      </c>
      <c r="K187" s="2">
        <v>2.0099999999999998</v>
      </c>
      <c r="L187">
        <v>510</v>
      </c>
      <c r="M187">
        <v>510</v>
      </c>
      <c r="N187">
        <v>510</v>
      </c>
      <c r="O187">
        <v>510</v>
      </c>
      <c r="P187">
        <v>510</v>
      </c>
      <c r="S187">
        <v>513</v>
      </c>
      <c r="T187">
        <v>515.20000000000005</v>
      </c>
      <c r="U187" s="17">
        <v>4.9345848999999999</v>
      </c>
      <c r="V187" s="60">
        <v>524</v>
      </c>
      <c r="W187" s="60">
        <v>523</v>
      </c>
      <c r="X187" s="60">
        <v>522</v>
      </c>
      <c r="Y187" s="60">
        <v>525</v>
      </c>
      <c r="Z187" s="60">
        <v>523</v>
      </c>
    </row>
    <row r="188" spans="1:26" x14ac:dyDescent="0.6">
      <c r="A188" s="6" t="s">
        <v>591</v>
      </c>
      <c r="B188" s="10">
        <v>20</v>
      </c>
      <c r="C188" s="12" t="s">
        <v>970</v>
      </c>
      <c r="D188" s="13" t="s">
        <v>978</v>
      </c>
      <c r="E188" s="13" t="s">
        <v>980</v>
      </c>
      <c r="F188" s="10">
        <v>7</v>
      </c>
      <c r="G188" s="10"/>
      <c r="H188" s="1">
        <v>529</v>
      </c>
      <c r="I188" s="1">
        <v>491</v>
      </c>
      <c r="J188" s="1">
        <v>491</v>
      </c>
      <c r="K188" s="2">
        <v>2.0099999999999998</v>
      </c>
      <c r="L188">
        <v>491</v>
      </c>
      <c r="M188">
        <v>491</v>
      </c>
      <c r="N188">
        <v>491</v>
      </c>
      <c r="O188">
        <v>491</v>
      </c>
      <c r="P188">
        <v>491</v>
      </c>
      <c r="S188">
        <v>493</v>
      </c>
      <c r="T188">
        <v>495</v>
      </c>
      <c r="U188" s="17">
        <v>5.0337421200000003</v>
      </c>
      <c r="V188" s="60">
        <v>501</v>
      </c>
      <c r="W188" s="60">
        <v>503</v>
      </c>
      <c r="X188" s="60">
        <v>503</v>
      </c>
      <c r="Y188" s="60">
        <v>499</v>
      </c>
      <c r="Z188" s="60">
        <v>504</v>
      </c>
    </row>
    <row r="189" spans="1:26" x14ac:dyDescent="0.6">
      <c r="A189" s="3" t="s">
        <v>592</v>
      </c>
      <c r="B189" s="10">
        <v>20</v>
      </c>
      <c r="C189" s="12" t="s">
        <v>970</v>
      </c>
      <c r="D189" s="13" t="s">
        <v>978</v>
      </c>
      <c r="E189" s="13" t="s">
        <v>980</v>
      </c>
      <c r="F189" s="10">
        <v>8</v>
      </c>
      <c r="G189" s="4"/>
      <c r="H189" s="1">
        <v>569</v>
      </c>
      <c r="I189" s="1">
        <v>483</v>
      </c>
      <c r="J189" s="1">
        <v>483</v>
      </c>
      <c r="K189" s="2">
        <v>2.0099999999999998</v>
      </c>
      <c r="L189">
        <v>483</v>
      </c>
      <c r="M189">
        <v>483</v>
      </c>
      <c r="N189">
        <v>483</v>
      </c>
      <c r="O189">
        <v>483</v>
      </c>
      <c r="P189">
        <v>483</v>
      </c>
      <c r="S189">
        <v>487</v>
      </c>
      <c r="T189">
        <v>488.4</v>
      </c>
      <c r="U189" s="17">
        <v>5.4960001800000002</v>
      </c>
      <c r="V189" s="60">
        <v>495</v>
      </c>
      <c r="W189" s="60">
        <v>496</v>
      </c>
      <c r="X189" s="60">
        <v>495</v>
      </c>
      <c r="Y189" s="60">
        <v>496</v>
      </c>
      <c r="Z189" s="60">
        <v>495</v>
      </c>
    </row>
    <row r="190" spans="1:26" x14ac:dyDescent="0.6">
      <c r="A190" s="6" t="s">
        <v>593</v>
      </c>
      <c r="B190" s="10">
        <v>20</v>
      </c>
      <c r="C190" s="12" t="s">
        <v>970</v>
      </c>
      <c r="D190" s="13" t="s">
        <v>978</v>
      </c>
      <c r="E190" s="13" t="s">
        <v>980</v>
      </c>
      <c r="F190" s="10">
        <v>9</v>
      </c>
      <c r="G190" s="10"/>
      <c r="H190" s="1">
        <v>578</v>
      </c>
      <c r="I190" s="1">
        <v>501</v>
      </c>
      <c r="J190" s="1">
        <v>501</v>
      </c>
      <c r="K190" s="2">
        <v>2.0099999999999998</v>
      </c>
      <c r="L190">
        <v>501</v>
      </c>
      <c r="M190">
        <v>501</v>
      </c>
      <c r="N190">
        <v>501</v>
      </c>
      <c r="O190">
        <v>501</v>
      </c>
      <c r="P190">
        <v>501</v>
      </c>
      <c r="S190">
        <v>502</v>
      </c>
      <c r="T190">
        <v>504</v>
      </c>
      <c r="U190" s="17">
        <v>6.5444146200000004</v>
      </c>
      <c r="V190" s="60">
        <v>515</v>
      </c>
      <c r="W190" s="60">
        <v>511</v>
      </c>
      <c r="X190" s="60">
        <v>514</v>
      </c>
      <c r="Y190" s="60">
        <v>515</v>
      </c>
      <c r="Z190" s="60">
        <v>516</v>
      </c>
    </row>
    <row r="191" spans="1:26" x14ac:dyDescent="0.6">
      <c r="A191" s="6" t="s">
        <v>594</v>
      </c>
      <c r="B191" s="10">
        <v>20</v>
      </c>
      <c r="C191" s="12" t="s">
        <v>970</v>
      </c>
      <c r="D191" s="13" t="s">
        <v>978</v>
      </c>
      <c r="E191" s="13" t="s">
        <v>980</v>
      </c>
      <c r="F191" s="10">
        <v>10</v>
      </c>
      <c r="G191" s="10"/>
      <c r="H191" s="1">
        <v>542</v>
      </c>
      <c r="I191" s="1">
        <v>488</v>
      </c>
      <c r="J191" s="1">
        <v>488</v>
      </c>
      <c r="K191" s="2">
        <v>2.0099999999999998</v>
      </c>
      <c r="L191">
        <v>488</v>
      </c>
      <c r="M191">
        <v>488</v>
      </c>
      <c r="N191">
        <v>488</v>
      </c>
      <c r="O191">
        <v>488</v>
      </c>
      <c r="P191">
        <v>488</v>
      </c>
      <c r="S191">
        <v>491</v>
      </c>
      <c r="T191">
        <v>494.2</v>
      </c>
      <c r="U191" s="17">
        <v>4.8941697</v>
      </c>
      <c r="V191" s="60">
        <v>500</v>
      </c>
      <c r="W191" s="60">
        <v>500</v>
      </c>
      <c r="X191" s="60">
        <v>499</v>
      </c>
      <c r="Y191" s="60">
        <v>501</v>
      </c>
      <c r="Z191" s="60">
        <v>501</v>
      </c>
    </row>
    <row r="192" spans="1:26" x14ac:dyDescent="0.6">
      <c r="A192" s="6" t="s">
        <v>595</v>
      </c>
      <c r="B192" s="10">
        <v>20</v>
      </c>
      <c r="C192" s="12" t="s">
        <v>970</v>
      </c>
      <c r="D192" s="13" t="s">
        <v>978</v>
      </c>
      <c r="E192" s="13" t="s">
        <v>984</v>
      </c>
      <c r="F192" s="10">
        <v>1</v>
      </c>
      <c r="G192" s="10"/>
      <c r="H192" s="1">
        <v>543</v>
      </c>
      <c r="I192" s="1">
        <v>481</v>
      </c>
      <c r="J192" s="1">
        <v>481</v>
      </c>
      <c r="K192" s="2">
        <v>2.0099999999999998</v>
      </c>
      <c r="L192">
        <v>481</v>
      </c>
      <c r="M192">
        <v>481</v>
      </c>
      <c r="N192">
        <v>481</v>
      </c>
      <c r="O192">
        <v>481</v>
      </c>
      <c r="P192">
        <v>481</v>
      </c>
      <c r="S192">
        <v>484</v>
      </c>
      <c r="T192">
        <v>485</v>
      </c>
      <c r="U192" s="17">
        <v>5.1250308799999997</v>
      </c>
      <c r="V192" s="60">
        <v>495</v>
      </c>
      <c r="W192" s="60">
        <v>495</v>
      </c>
      <c r="X192" s="60">
        <v>494</v>
      </c>
      <c r="Y192" s="60">
        <v>497</v>
      </c>
      <c r="Z192" s="60">
        <v>494</v>
      </c>
    </row>
    <row r="193" spans="1:26" x14ac:dyDescent="0.6">
      <c r="A193" s="6" t="s">
        <v>596</v>
      </c>
      <c r="B193" s="10">
        <v>20</v>
      </c>
      <c r="C193" s="12" t="s">
        <v>970</v>
      </c>
      <c r="D193" s="13" t="s">
        <v>978</v>
      </c>
      <c r="E193" s="13" t="s">
        <v>985</v>
      </c>
      <c r="F193" s="10">
        <v>2</v>
      </c>
      <c r="G193" s="10"/>
      <c r="H193" s="1">
        <v>584</v>
      </c>
      <c r="I193" s="1">
        <v>464</v>
      </c>
      <c r="J193" s="1">
        <v>464</v>
      </c>
      <c r="K193" s="2">
        <v>2.0099999999999998</v>
      </c>
      <c r="L193">
        <v>464</v>
      </c>
      <c r="M193">
        <v>464</v>
      </c>
      <c r="N193">
        <v>464</v>
      </c>
      <c r="O193">
        <v>464</v>
      </c>
      <c r="P193">
        <v>464</v>
      </c>
      <c r="S193">
        <v>468</v>
      </c>
      <c r="T193">
        <v>471.2</v>
      </c>
      <c r="U193" s="17">
        <v>5.0421966600000001</v>
      </c>
      <c r="V193" s="60">
        <v>479</v>
      </c>
      <c r="W193" s="60">
        <v>478</v>
      </c>
      <c r="X193" s="60">
        <v>477</v>
      </c>
      <c r="Y193" s="60">
        <v>474</v>
      </c>
      <c r="Z193" s="60">
        <v>479</v>
      </c>
    </row>
    <row r="194" spans="1:26" x14ac:dyDescent="0.6">
      <c r="A194" s="6" t="s">
        <v>597</v>
      </c>
      <c r="B194" s="10">
        <v>20</v>
      </c>
      <c r="C194" s="12" t="s">
        <v>970</v>
      </c>
      <c r="D194" s="13" t="s">
        <v>978</v>
      </c>
      <c r="E194" s="13" t="s">
        <v>982</v>
      </c>
      <c r="F194" s="10">
        <v>3</v>
      </c>
      <c r="G194" s="10"/>
      <c r="H194" s="1">
        <v>699</v>
      </c>
      <c r="I194" s="1">
        <v>480</v>
      </c>
      <c r="J194" s="1">
        <v>480</v>
      </c>
      <c r="K194" s="2">
        <v>2.0099999999999998</v>
      </c>
      <c r="L194">
        <v>480</v>
      </c>
      <c r="M194">
        <v>480</v>
      </c>
      <c r="N194">
        <v>480</v>
      </c>
      <c r="O194">
        <v>480</v>
      </c>
      <c r="P194">
        <v>480</v>
      </c>
      <c r="S194">
        <v>483</v>
      </c>
      <c r="T194">
        <v>484.6</v>
      </c>
      <c r="U194" s="17">
        <v>5.3764273200000003</v>
      </c>
      <c r="V194" s="60">
        <v>494</v>
      </c>
      <c r="W194" s="60">
        <v>492</v>
      </c>
      <c r="X194" s="60">
        <v>494</v>
      </c>
      <c r="Y194" s="60">
        <v>493</v>
      </c>
      <c r="Z194" s="60">
        <v>491</v>
      </c>
    </row>
    <row r="195" spans="1:26" x14ac:dyDescent="0.6">
      <c r="A195" s="3" t="s">
        <v>598</v>
      </c>
      <c r="B195" s="10">
        <v>20</v>
      </c>
      <c r="C195" s="12" t="s">
        <v>970</v>
      </c>
      <c r="D195" s="13" t="s">
        <v>978</v>
      </c>
      <c r="E195" s="13" t="s">
        <v>982</v>
      </c>
      <c r="F195" s="10">
        <v>4</v>
      </c>
      <c r="G195" s="4"/>
      <c r="H195" s="1">
        <v>618</v>
      </c>
      <c r="I195" s="1">
        <v>490</v>
      </c>
      <c r="J195" s="1">
        <v>490.2</v>
      </c>
      <c r="K195" s="2">
        <v>2.0099999999999998</v>
      </c>
      <c r="L195">
        <v>490</v>
      </c>
      <c r="M195">
        <v>491</v>
      </c>
      <c r="N195">
        <v>490</v>
      </c>
      <c r="O195">
        <v>490</v>
      </c>
      <c r="P195">
        <v>490</v>
      </c>
      <c r="S195">
        <v>492</v>
      </c>
      <c r="T195">
        <v>494.8</v>
      </c>
      <c r="U195" s="17">
        <v>5.0378946600000001</v>
      </c>
      <c r="V195" s="60">
        <v>505</v>
      </c>
      <c r="W195" s="60">
        <v>505</v>
      </c>
      <c r="X195" s="60">
        <v>506</v>
      </c>
      <c r="Y195" s="60">
        <v>503</v>
      </c>
      <c r="Z195" s="60">
        <v>506</v>
      </c>
    </row>
    <row r="196" spans="1:26" x14ac:dyDescent="0.6">
      <c r="A196" s="6" t="s">
        <v>599</v>
      </c>
      <c r="B196" s="10">
        <v>20</v>
      </c>
      <c r="C196" s="12" t="s">
        <v>970</v>
      </c>
      <c r="D196" s="13" t="s">
        <v>978</v>
      </c>
      <c r="E196" s="13" t="s">
        <v>982</v>
      </c>
      <c r="F196" s="10">
        <v>5</v>
      </c>
      <c r="G196" s="10"/>
      <c r="H196" s="1">
        <v>693</v>
      </c>
      <c r="I196" s="1">
        <v>470</v>
      </c>
      <c r="J196" s="1">
        <v>470</v>
      </c>
      <c r="K196" s="2">
        <v>2.0099999999999998</v>
      </c>
      <c r="L196">
        <v>470</v>
      </c>
      <c r="M196">
        <v>470</v>
      </c>
      <c r="N196">
        <v>470</v>
      </c>
      <c r="O196">
        <v>470</v>
      </c>
      <c r="P196">
        <v>470</v>
      </c>
      <c r="S196">
        <v>471</v>
      </c>
      <c r="T196">
        <v>473.2</v>
      </c>
      <c r="U196" s="17">
        <v>5.14739068</v>
      </c>
      <c r="V196" s="60">
        <v>485</v>
      </c>
      <c r="W196" s="60">
        <v>487</v>
      </c>
      <c r="X196" s="60">
        <v>487</v>
      </c>
      <c r="Y196" s="60">
        <v>487</v>
      </c>
      <c r="Z196" s="60">
        <v>487</v>
      </c>
    </row>
    <row r="197" spans="1:26" x14ac:dyDescent="0.6">
      <c r="A197" s="3" t="s">
        <v>600</v>
      </c>
      <c r="B197" s="10">
        <v>20</v>
      </c>
      <c r="C197" s="12" t="s">
        <v>970</v>
      </c>
      <c r="D197" s="13" t="s">
        <v>978</v>
      </c>
      <c r="E197" s="13" t="s">
        <v>982</v>
      </c>
      <c r="F197" s="10">
        <v>6</v>
      </c>
      <c r="G197" s="4"/>
      <c r="H197" s="1">
        <v>670</v>
      </c>
      <c r="I197" s="1">
        <v>510</v>
      </c>
      <c r="J197" s="1">
        <v>510</v>
      </c>
      <c r="K197" s="2">
        <v>2.0099999999999998</v>
      </c>
      <c r="L197">
        <v>510</v>
      </c>
      <c r="M197">
        <v>510</v>
      </c>
      <c r="N197">
        <v>510</v>
      </c>
      <c r="O197">
        <v>510</v>
      </c>
      <c r="P197">
        <v>510</v>
      </c>
      <c r="S197">
        <v>515</v>
      </c>
      <c r="T197">
        <v>516.4</v>
      </c>
      <c r="U197" s="17">
        <v>5.1962777000000004</v>
      </c>
      <c r="V197" s="60">
        <v>522</v>
      </c>
      <c r="W197" s="60">
        <v>519</v>
      </c>
      <c r="X197" s="60">
        <v>527</v>
      </c>
      <c r="Y197" s="60">
        <v>524</v>
      </c>
      <c r="Z197" s="60">
        <v>523</v>
      </c>
    </row>
    <row r="198" spans="1:26" x14ac:dyDescent="0.6">
      <c r="A198" s="6" t="s">
        <v>601</v>
      </c>
      <c r="B198" s="10">
        <v>20</v>
      </c>
      <c r="C198" s="12" t="s">
        <v>970</v>
      </c>
      <c r="D198" s="13" t="s">
        <v>978</v>
      </c>
      <c r="E198" s="13" t="s">
        <v>982</v>
      </c>
      <c r="F198" s="10">
        <v>7</v>
      </c>
      <c r="G198" s="10"/>
      <c r="H198" s="1">
        <v>587</v>
      </c>
      <c r="I198" s="1">
        <v>491</v>
      </c>
      <c r="J198" s="1">
        <v>491</v>
      </c>
      <c r="K198" s="2">
        <v>2.0099999999999998</v>
      </c>
      <c r="L198">
        <v>491</v>
      </c>
      <c r="M198">
        <v>491</v>
      </c>
      <c r="N198">
        <v>491</v>
      </c>
      <c r="O198">
        <v>491</v>
      </c>
      <c r="P198">
        <v>491</v>
      </c>
      <c r="S198">
        <v>494</v>
      </c>
      <c r="T198">
        <v>496.2</v>
      </c>
      <c r="U198" s="17">
        <v>4.8743965400000002</v>
      </c>
      <c r="V198" s="60">
        <v>502</v>
      </c>
      <c r="W198" s="60">
        <v>504</v>
      </c>
      <c r="X198" s="60">
        <v>500</v>
      </c>
      <c r="Y198" s="60">
        <v>503</v>
      </c>
      <c r="Z198" s="60">
        <v>504</v>
      </c>
    </row>
    <row r="199" spans="1:26" x14ac:dyDescent="0.6">
      <c r="A199" s="3" t="s">
        <v>602</v>
      </c>
      <c r="B199" s="10">
        <v>20</v>
      </c>
      <c r="C199" s="12" t="s">
        <v>970</v>
      </c>
      <c r="D199" s="13" t="s">
        <v>978</v>
      </c>
      <c r="E199" s="13" t="s">
        <v>982</v>
      </c>
      <c r="F199" s="10">
        <v>8</v>
      </c>
      <c r="G199" s="4"/>
      <c r="H199" s="1">
        <v>661</v>
      </c>
      <c r="I199" s="1">
        <v>483</v>
      </c>
      <c r="J199" s="1">
        <v>483.2</v>
      </c>
      <c r="K199" s="2">
        <v>2.0099999999999998</v>
      </c>
      <c r="L199">
        <v>483</v>
      </c>
      <c r="M199">
        <v>484</v>
      </c>
      <c r="N199">
        <v>483</v>
      </c>
      <c r="O199">
        <v>483</v>
      </c>
      <c r="P199">
        <v>483</v>
      </c>
      <c r="S199">
        <v>488</v>
      </c>
      <c r="T199">
        <v>490.4</v>
      </c>
      <c r="U199" s="17">
        <v>5.3753988599999998</v>
      </c>
      <c r="V199" s="60">
        <v>495</v>
      </c>
      <c r="W199" s="60">
        <v>501</v>
      </c>
      <c r="X199" s="60">
        <v>499</v>
      </c>
      <c r="Y199" s="60">
        <v>498</v>
      </c>
      <c r="Z199" s="60">
        <v>501</v>
      </c>
    </row>
    <row r="200" spans="1:26" x14ac:dyDescent="0.6">
      <c r="A200" s="6" t="s">
        <v>603</v>
      </c>
      <c r="B200" s="10">
        <v>20</v>
      </c>
      <c r="C200" s="12" t="s">
        <v>970</v>
      </c>
      <c r="D200" s="13" t="s">
        <v>978</v>
      </c>
      <c r="E200" s="13" t="s">
        <v>982</v>
      </c>
      <c r="F200" s="10">
        <v>9</v>
      </c>
      <c r="G200" s="10"/>
      <c r="H200" s="1">
        <v>646</v>
      </c>
      <c r="I200" s="1">
        <v>505</v>
      </c>
      <c r="J200" s="1">
        <v>505</v>
      </c>
      <c r="K200" s="2">
        <v>2.0099999999999998</v>
      </c>
      <c r="L200">
        <v>505</v>
      </c>
      <c r="M200">
        <v>505</v>
      </c>
      <c r="N200">
        <v>505</v>
      </c>
      <c r="O200">
        <v>505</v>
      </c>
      <c r="P200">
        <v>505</v>
      </c>
      <c r="S200">
        <v>510</v>
      </c>
      <c r="T200">
        <v>513.20000000000005</v>
      </c>
      <c r="U200" s="17">
        <v>6.5187530000000002</v>
      </c>
      <c r="V200" s="60">
        <v>531</v>
      </c>
      <c r="W200" s="60">
        <v>531</v>
      </c>
      <c r="X200" s="60">
        <v>538</v>
      </c>
      <c r="Y200" s="60">
        <v>536</v>
      </c>
      <c r="Z200" s="60">
        <v>532</v>
      </c>
    </row>
    <row r="201" spans="1:26" x14ac:dyDescent="0.6">
      <c r="A201" s="6" t="s">
        <v>604</v>
      </c>
      <c r="B201" s="10">
        <v>20</v>
      </c>
      <c r="C201" s="12" t="s">
        <v>970</v>
      </c>
      <c r="D201" s="13" t="s">
        <v>978</v>
      </c>
      <c r="E201" s="13" t="s">
        <v>982</v>
      </c>
      <c r="F201" s="10">
        <v>10</v>
      </c>
      <c r="G201" s="10"/>
      <c r="H201" s="1">
        <v>617</v>
      </c>
      <c r="I201" s="1">
        <v>488</v>
      </c>
      <c r="J201" s="1">
        <v>488</v>
      </c>
      <c r="K201" s="2">
        <v>2.0099999999999998</v>
      </c>
      <c r="L201">
        <v>488</v>
      </c>
      <c r="M201">
        <v>488</v>
      </c>
      <c r="N201">
        <v>488</v>
      </c>
      <c r="O201">
        <v>488</v>
      </c>
      <c r="P201">
        <v>488</v>
      </c>
      <c r="S201">
        <v>491</v>
      </c>
      <c r="T201">
        <v>493.2</v>
      </c>
      <c r="U201" s="17">
        <v>5.2651867399999999</v>
      </c>
      <c r="V201" s="60">
        <v>501</v>
      </c>
      <c r="W201" s="60">
        <v>503</v>
      </c>
      <c r="X201" s="60">
        <v>501</v>
      </c>
      <c r="Y201" s="60">
        <v>499</v>
      </c>
      <c r="Z201" s="60">
        <v>500</v>
      </c>
    </row>
    <row r="202" spans="1:26" x14ac:dyDescent="0.6">
      <c r="A202" s="6" t="s">
        <v>605</v>
      </c>
      <c r="B202" s="10">
        <v>20</v>
      </c>
      <c r="C202" s="13" t="s">
        <v>974</v>
      </c>
      <c r="D202" s="13" t="s">
        <v>977</v>
      </c>
      <c r="E202" s="13" t="s">
        <v>981</v>
      </c>
      <c r="F202" s="10">
        <v>1</v>
      </c>
      <c r="G202" s="10"/>
      <c r="H202" s="1">
        <v>630</v>
      </c>
      <c r="I202" s="1">
        <v>586</v>
      </c>
      <c r="J202" s="1">
        <v>586</v>
      </c>
      <c r="K202" s="2">
        <v>2.0099999999999998</v>
      </c>
      <c r="L202">
        <v>586</v>
      </c>
      <c r="M202">
        <v>586</v>
      </c>
      <c r="N202">
        <v>586</v>
      </c>
      <c r="O202">
        <v>586</v>
      </c>
      <c r="P202">
        <v>586</v>
      </c>
      <c r="S202">
        <v>589</v>
      </c>
      <c r="T202">
        <v>591.79999999999995</v>
      </c>
      <c r="U202" s="17">
        <v>5.3034810400000003</v>
      </c>
      <c r="V202" s="60">
        <v>598</v>
      </c>
      <c r="W202" s="60">
        <v>596</v>
      </c>
      <c r="X202" s="60">
        <v>597</v>
      </c>
      <c r="Y202" s="60">
        <v>598</v>
      </c>
      <c r="Z202" s="60">
        <v>597</v>
      </c>
    </row>
    <row r="203" spans="1:26" x14ac:dyDescent="0.6">
      <c r="A203" s="3" t="s">
        <v>606</v>
      </c>
      <c r="B203" s="10">
        <v>20</v>
      </c>
      <c r="C203" s="13" t="s">
        <v>975</v>
      </c>
      <c r="D203" s="13" t="s">
        <v>977</v>
      </c>
      <c r="E203" s="13" t="s">
        <v>983</v>
      </c>
      <c r="F203" s="10">
        <v>2</v>
      </c>
      <c r="G203" s="4"/>
      <c r="H203" s="1">
        <v>640</v>
      </c>
      <c r="I203" s="1">
        <v>569</v>
      </c>
      <c r="J203" s="1">
        <v>569</v>
      </c>
      <c r="K203" s="2">
        <v>2.0099999999999998</v>
      </c>
      <c r="L203">
        <v>569</v>
      </c>
      <c r="M203">
        <v>569</v>
      </c>
      <c r="N203">
        <v>569</v>
      </c>
      <c r="O203">
        <v>569</v>
      </c>
      <c r="P203">
        <v>569</v>
      </c>
      <c r="S203">
        <v>572</v>
      </c>
      <c r="T203">
        <v>574.79999999999995</v>
      </c>
      <c r="U203" s="17">
        <v>4.9119549600000001</v>
      </c>
      <c r="V203" s="60">
        <v>579</v>
      </c>
      <c r="W203" s="60">
        <v>580</v>
      </c>
      <c r="X203" s="60">
        <v>580</v>
      </c>
      <c r="Y203" s="60">
        <v>577</v>
      </c>
      <c r="Z203" s="60">
        <v>581</v>
      </c>
    </row>
    <row r="204" spans="1:26" x14ac:dyDescent="0.6">
      <c r="A204" s="6" t="s">
        <v>607</v>
      </c>
      <c r="B204" s="10">
        <v>20</v>
      </c>
      <c r="C204" s="13" t="s">
        <v>973</v>
      </c>
      <c r="D204" s="13" t="s">
        <v>976</v>
      </c>
      <c r="E204" s="13" t="s">
        <v>980</v>
      </c>
      <c r="F204" s="10">
        <v>3</v>
      </c>
      <c r="G204" s="10"/>
      <c r="H204" s="1">
        <v>729</v>
      </c>
      <c r="I204" s="1">
        <v>584</v>
      </c>
      <c r="J204" s="1">
        <v>584</v>
      </c>
      <c r="K204" s="2">
        <v>2.0099999999999998</v>
      </c>
      <c r="L204">
        <v>584</v>
      </c>
      <c r="M204">
        <v>584</v>
      </c>
      <c r="N204">
        <v>584</v>
      </c>
      <c r="O204">
        <v>584</v>
      </c>
      <c r="P204">
        <v>584</v>
      </c>
      <c r="S204">
        <v>589</v>
      </c>
      <c r="T204">
        <v>590</v>
      </c>
      <c r="U204" s="17">
        <v>5.23361886</v>
      </c>
      <c r="V204" s="60">
        <v>596</v>
      </c>
      <c r="W204" s="60">
        <v>597</v>
      </c>
      <c r="X204" s="60">
        <v>597</v>
      </c>
      <c r="Y204" s="60">
        <v>592</v>
      </c>
      <c r="Z204" s="60">
        <v>596</v>
      </c>
    </row>
    <row r="205" spans="1:26" x14ac:dyDescent="0.6">
      <c r="A205" s="6" t="s">
        <v>608</v>
      </c>
      <c r="B205" s="10">
        <v>20</v>
      </c>
      <c r="C205" s="13" t="s">
        <v>973</v>
      </c>
      <c r="D205" s="13" t="s">
        <v>976</v>
      </c>
      <c r="E205" s="13" t="s">
        <v>980</v>
      </c>
      <c r="F205" s="10">
        <v>4</v>
      </c>
      <c r="G205" s="10"/>
      <c r="H205" s="1">
        <v>667</v>
      </c>
      <c r="I205" s="1">
        <v>595</v>
      </c>
      <c r="J205" s="1">
        <v>595.6</v>
      </c>
      <c r="K205" s="2">
        <v>2.0099999999999998</v>
      </c>
      <c r="L205">
        <v>596</v>
      </c>
      <c r="M205">
        <v>595</v>
      </c>
      <c r="N205">
        <v>595</v>
      </c>
      <c r="O205">
        <v>596</v>
      </c>
      <c r="P205">
        <v>596</v>
      </c>
      <c r="S205">
        <v>599</v>
      </c>
      <c r="T205">
        <v>600.4</v>
      </c>
      <c r="U205" s="17">
        <v>4.8626313999999997</v>
      </c>
      <c r="V205" s="60">
        <v>608</v>
      </c>
      <c r="W205" s="60">
        <v>609</v>
      </c>
      <c r="X205" s="60">
        <v>609</v>
      </c>
      <c r="Y205" s="60">
        <v>611</v>
      </c>
      <c r="Z205" s="60">
        <v>608</v>
      </c>
    </row>
    <row r="206" spans="1:26" x14ac:dyDescent="0.6">
      <c r="A206" s="6" t="s">
        <v>609</v>
      </c>
      <c r="B206" s="10">
        <v>20</v>
      </c>
      <c r="C206" s="13" t="s">
        <v>973</v>
      </c>
      <c r="D206" s="13" t="s">
        <v>976</v>
      </c>
      <c r="E206" s="13" t="s">
        <v>980</v>
      </c>
      <c r="F206" s="10">
        <v>5</v>
      </c>
      <c r="G206" s="10"/>
      <c r="H206" s="1">
        <v>723</v>
      </c>
      <c r="I206" s="1">
        <v>574</v>
      </c>
      <c r="J206" s="1">
        <v>574</v>
      </c>
      <c r="K206" s="2">
        <v>2.0099999999999998</v>
      </c>
      <c r="L206">
        <v>574</v>
      </c>
      <c r="M206">
        <v>574</v>
      </c>
      <c r="N206">
        <v>574</v>
      </c>
      <c r="O206">
        <v>574</v>
      </c>
      <c r="P206">
        <v>574</v>
      </c>
      <c r="S206">
        <v>576</v>
      </c>
      <c r="T206">
        <v>578</v>
      </c>
      <c r="U206" s="17">
        <v>5.0251406200000002</v>
      </c>
      <c r="V206" s="60">
        <v>586</v>
      </c>
      <c r="W206" s="60">
        <v>585</v>
      </c>
      <c r="X206" s="60">
        <v>586</v>
      </c>
      <c r="Y206" s="60">
        <v>588</v>
      </c>
      <c r="Z206" s="60">
        <v>587</v>
      </c>
    </row>
    <row r="207" spans="1:26" x14ac:dyDescent="0.6">
      <c r="A207" s="6" t="s">
        <v>610</v>
      </c>
      <c r="B207" s="10">
        <v>20</v>
      </c>
      <c r="C207" s="13" t="s">
        <v>973</v>
      </c>
      <c r="D207" s="13" t="s">
        <v>976</v>
      </c>
      <c r="E207" s="13" t="s">
        <v>980</v>
      </c>
      <c r="F207" s="10">
        <v>6</v>
      </c>
      <c r="G207" s="10"/>
      <c r="H207" s="1">
        <v>710</v>
      </c>
      <c r="I207" s="1">
        <v>615</v>
      </c>
      <c r="J207" s="1">
        <v>615</v>
      </c>
      <c r="K207" s="2">
        <v>2.0099999999999998</v>
      </c>
      <c r="L207">
        <v>615</v>
      </c>
      <c r="M207">
        <v>615</v>
      </c>
      <c r="N207">
        <v>615</v>
      </c>
      <c r="O207">
        <v>615</v>
      </c>
      <c r="P207">
        <v>615</v>
      </c>
      <c r="S207">
        <v>616</v>
      </c>
      <c r="T207">
        <v>619.4</v>
      </c>
      <c r="U207" s="17">
        <v>5.1480893200000004</v>
      </c>
      <c r="V207" s="60">
        <v>630</v>
      </c>
      <c r="W207" s="60">
        <v>628</v>
      </c>
      <c r="X207" s="60">
        <v>629</v>
      </c>
      <c r="Y207" s="60">
        <v>627</v>
      </c>
      <c r="Z207" s="60">
        <v>630</v>
      </c>
    </row>
    <row r="208" spans="1:26" x14ac:dyDescent="0.6">
      <c r="A208" s="6" t="s">
        <v>611</v>
      </c>
      <c r="B208" s="10">
        <v>20</v>
      </c>
      <c r="C208" s="13" t="s">
        <v>973</v>
      </c>
      <c r="D208" s="13" t="s">
        <v>976</v>
      </c>
      <c r="E208" s="13" t="s">
        <v>980</v>
      </c>
      <c r="F208" s="10">
        <v>7</v>
      </c>
      <c r="G208" s="10"/>
      <c r="H208" s="1">
        <v>639</v>
      </c>
      <c r="I208" s="1">
        <v>596</v>
      </c>
      <c r="J208" s="1">
        <v>596</v>
      </c>
      <c r="K208" s="2">
        <v>2.0099999999999998</v>
      </c>
      <c r="L208">
        <v>596</v>
      </c>
      <c r="M208">
        <v>596</v>
      </c>
      <c r="N208">
        <v>596</v>
      </c>
      <c r="O208">
        <v>596</v>
      </c>
      <c r="P208">
        <v>596</v>
      </c>
      <c r="S208">
        <v>598</v>
      </c>
      <c r="T208">
        <v>599.79999999999995</v>
      </c>
      <c r="U208" s="17">
        <v>5.0342181200000002</v>
      </c>
      <c r="V208" s="60">
        <v>607</v>
      </c>
      <c r="W208" s="60">
        <v>608</v>
      </c>
      <c r="X208" s="60">
        <v>605</v>
      </c>
      <c r="Y208" s="60">
        <v>607</v>
      </c>
      <c r="Z208" s="60">
        <v>609</v>
      </c>
    </row>
    <row r="209" spans="1:26" x14ac:dyDescent="0.6">
      <c r="A209" s="6" t="s">
        <v>612</v>
      </c>
      <c r="B209" s="10">
        <v>20</v>
      </c>
      <c r="C209" s="13" t="s">
        <v>973</v>
      </c>
      <c r="D209" s="13" t="s">
        <v>976</v>
      </c>
      <c r="E209" s="13" t="s">
        <v>980</v>
      </c>
      <c r="F209" s="10">
        <v>8</v>
      </c>
      <c r="G209" s="10"/>
      <c r="H209" s="1">
        <v>694</v>
      </c>
      <c r="I209" s="1">
        <v>588</v>
      </c>
      <c r="J209" s="1">
        <v>588.20000000000005</v>
      </c>
      <c r="K209" s="2">
        <v>2.0099999999999998</v>
      </c>
      <c r="L209">
        <v>588</v>
      </c>
      <c r="M209">
        <v>588</v>
      </c>
      <c r="N209">
        <v>589</v>
      </c>
      <c r="O209">
        <v>588</v>
      </c>
      <c r="P209">
        <v>588</v>
      </c>
      <c r="S209">
        <v>593</v>
      </c>
      <c r="T209">
        <v>594.6</v>
      </c>
      <c r="U209" s="17">
        <v>5.3205210799999998</v>
      </c>
      <c r="V209" s="60">
        <v>600</v>
      </c>
      <c r="W209" s="60">
        <v>601</v>
      </c>
      <c r="X209" s="60">
        <v>599</v>
      </c>
      <c r="Y209" s="60">
        <v>600</v>
      </c>
      <c r="Z209" s="60">
        <v>602</v>
      </c>
    </row>
    <row r="210" spans="1:26" x14ac:dyDescent="0.6">
      <c r="A210" s="6" t="s">
        <v>613</v>
      </c>
      <c r="B210" s="10">
        <v>20</v>
      </c>
      <c r="C210" s="13" t="s">
        <v>973</v>
      </c>
      <c r="D210" s="13" t="s">
        <v>976</v>
      </c>
      <c r="E210" s="13" t="s">
        <v>980</v>
      </c>
      <c r="F210" s="10">
        <v>9</v>
      </c>
      <c r="G210" s="10"/>
      <c r="H210" s="1">
        <v>698</v>
      </c>
      <c r="I210" s="1">
        <v>606</v>
      </c>
      <c r="J210" s="1">
        <v>606</v>
      </c>
      <c r="K210" s="2">
        <v>2.0099999999999998</v>
      </c>
      <c r="L210">
        <v>606</v>
      </c>
      <c r="M210">
        <v>606</v>
      </c>
      <c r="N210">
        <v>606</v>
      </c>
      <c r="O210">
        <v>606</v>
      </c>
      <c r="P210">
        <v>606</v>
      </c>
      <c r="S210">
        <v>607</v>
      </c>
      <c r="T210">
        <v>610.6</v>
      </c>
      <c r="U210" s="17">
        <v>6.3610048800000003</v>
      </c>
      <c r="V210" s="60">
        <v>622</v>
      </c>
      <c r="W210" s="60">
        <v>620</v>
      </c>
      <c r="X210" s="60">
        <v>619</v>
      </c>
      <c r="Y210" s="60">
        <v>622</v>
      </c>
      <c r="Z210" s="60">
        <v>622</v>
      </c>
    </row>
    <row r="211" spans="1:26" x14ac:dyDescent="0.6">
      <c r="A211" s="3" t="s">
        <v>614</v>
      </c>
      <c r="B211" s="10">
        <v>20</v>
      </c>
      <c r="C211" s="13" t="s">
        <v>973</v>
      </c>
      <c r="D211" s="13" t="s">
        <v>976</v>
      </c>
      <c r="E211" s="13" t="s">
        <v>980</v>
      </c>
      <c r="F211" s="10">
        <v>10</v>
      </c>
      <c r="G211" s="4"/>
      <c r="H211" s="1">
        <v>662</v>
      </c>
      <c r="I211" s="1">
        <v>593</v>
      </c>
      <c r="J211" s="1">
        <v>593</v>
      </c>
      <c r="K211" s="2">
        <v>2.0099999999999998</v>
      </c>
      <c r="L211">
        <v>593</v>
      </c>
      <c r="M211">
        <v>593</v>
      </c>
      <c r="N211">
        <v>593</v>
      </c>
      <c r="O211">
        <v>593</v>
      </c>
      <c r="P211">
        <v>593</v>
      </c>
      <c r="S211">
        <v>596</v>
      </c>
      <c r="T211">
        <v>598.4</v>
      </c>
      <c r="U211" s="17">
        <v>5.4646707399999999</v>
      </c>
      <c r="V211" s="60">
        <v>602</v>
      </c>
      <c r="W211" s="60">
        <v>606</v>
      </c>
      <c r="X211" s="60">
        <v>604</v>
      </c>
      <c r="Y211" s="60">
        <v>604</v>
      </c>
      <c r="Z211" s="60">
        <v>605</v>
      </c>
    </row>
    <row r="212" spans="1:26" x14ac:dyDescent="0.6">
      <c r="A212" s="6" t="s">
        <v>615</v>
      </c>
      <c r="B212" s="10">
        <v>20</v>
      </c>
      <c r="C212" s="13" t="s">
        <v>973</v>
      </c>
      <c r="D212" s="13" t="s">
        <v>976</v>
      </c>
      <c r="E212" s="13" t="s">
        <v>984</v>
      </c>
      <c r="F212" s="10">
        <v>1</v>
      </c>
      <c r="G212" s="10"/>
      <c r="H212" s="1">
        <v>653</v>
      </c>
      <c r="I212" s="1">
        <v>586</v>
      </c>
      <c r="J212" s="1">
        <v>586</v>
      </c>
      <c r="K212" s="2">
        <v>2.0099999999999998</v>
      </c>
      <c r="L212">
        <v>586</v>
      </c>
      <c r="M212">
        <v>586</v>
      </c>
      <c r="N212">
        <v>586</v>
      </c>
      <c r="O212">
        <v>586</v>
      </c>
      <c r="P212">
        <v>586</v>
      </c>
      <c r="S212">
        <v>591</v>
      </c>
      <c r="T212">
        <v>592.6</v>
      </c>
      <c r="U212" s="17">
        <v>5.1435943799999997</v>
      </c>
      <c r="V212" s="60">
        <v>598</v>
      </c>
      <c r="W212" s="60">
        <v>600</v>
      </c>
      <c r="X212" s="60">
        <v>602</v>
      </c>
      <c r="Y212" s="60">
        <v>599</v>
      </c>
      <c r="Z212" s="60">
        <v>599</v>
      </c>
    </row>
    <row r="213" spans="1:26" x14ac:dyDescent="0.6">
      <c r="A213" s="6" t="s">
        <v>616</v>
      </c>
      <c r="B213" s="10">
        <v>20</v>
      </c>
      <c r="C213" s="13" t="s">
        <v>973</v>
      </c>
      <c r="D213" s="13" t="s">
        <v>976</v>
      </c>
      <c r="E213" s="13" t="s">
        <v>985</v>
      </c>
      <c r="F213" s="10">
        <v>2</v>
      </c>
      <c r="G213" s="10"/>
      <c r="H213" s="1">
        <v>699</v>
      </c>
      <c r="I213" s="1">
        <v>569</v>
      </c>
      <c r="J213" s="1">
        <v>569</v>
      </c>
      <c r="K213" s="2">
        <v>2.0099999999999998</v>
      </c>
      <c r="L213">
        <v>569</v>
      </c>
      <c r="M213">
        <v>569</v>
      </c>
      <c r="N213">
        <v>569</v>
      </c>
      <c r="O213">
        <v>569</v>
      </c>
      <c r="P213">
        <v>569</v>
      </c>
      <c r="S213">
        <v>571</v>
      </c>
      <c r="T213">
        <v>573.20000000000005</v>
      </c>
      <c r="U213" s="17">
        <v>5.0688910399999996</v>
      </c>
      <c r="V213" s="60">
        <v>582</v>
      </c>
      <c r="W213" s="60">
        <v>583</v>
      </c>
      <c r="X213" s="60">
        <v>580</v>
      </c>
      <c r="Y213" s="60">
        <v>579</v>
      </c>
      <c r="Z213" s="60">
        <v>582</v>
      </c>
    </row>
    <row r="214" spans="1:26" x14ac:dyDescent="0.6">
      <c r="A214" s="6" t="s">
        <v>617</v>
      </c>
      <c r="B214" s="10">
        <v>20</v>
      </c>
      <c r="C214" s="13" t="s">
        <v>973</v>
      </c>
      <c r="D214" s="13" t="s">
        <v>976</v>
      </c>
      <c r="E214" s="13" t="s">
        <v>982</v>
      </c>
      <c r="F214" s="10">
        <v>3</v>
      </c>
      <c r="G214" s="10"/>
      <c r="H214" s="1">
        <v>829</v>
      </c>
      <c r="I214" s="1">
        <v>585</v>
      </c>
      <c r="J214" s="1">
        <v>585</v>
      </c>
      <c r="K214" s="2">
        <v>2.0099999999999998</v>
      </c>
      <c r="L214">
        <v>585</v>
      </c>
      <c r="M214">
        <v>585</v>
      </c>
      <c r="N214">
        <v>585</v>
      </c>
      <c r="O214">
        <v>585</v>
      </c>
      <c r="P214">
        <v>585</v>
      </c>
      <c r="S214">
        <v>589</v>
      </c>
      <c r="T214">
        <v>589.20000000000005</v>
      </c>
      <c r="U214" s="17">
        <v>5.1731811199999997</v>
      </c>
      <c r="V214" s="60">
        <v>599</v>
      </c>
      <c r="W214" s="60">
        <v>600</v>
      </c>
      <c r="X214" s="60">
        <v>598</v>
      </c>
      <c r="Y214" s="60">
        <v>598</v>
      </c>
      <c r="Z214" s="60">
        <v>596</v>
      </c>
    </row>
    <row r="215" spans="1:26" x14ac:dyDescent="0.6">
      <c r="A215" s="6" t="s">
        <v>618</v>
      </c>
      <c r="B215" s="10">
        <v>20</v>
      </c>
      <c r="C215" s="13" t="s">
        <v>973</v>
      </c>
      <c r="D215" s="13" t="s">
        <v>976</v>
      </c>
      <c r="E215" s="13" t="s">
        <v>982</v>
      </c>
      <c r="F215" s="10">
        <v>4</v>
      </c>
      <c r="G215" s="10"/>
      <c r="H215" s="1">
        <v>738</v>
      </c>
      <c r="I215" s="1">
        <v>595</v>
      </c>
      <c r="J215" s="1">
        <v>595.20000000000005</v>
      </c>
      <c r="K215" s="2">
        <v>2.0099999999999998</v>
      </c>
      <c r="L215">
        <v>595</v>
      </c>
      <c r="M215">
        <v>596</v>
      </c>
      <c r="N215">
        <v>595</v>
      </c>
      <c r="O215">
        <v>595</v>
      </c>
      <c r="P215">
        <v>595</v>
      </c>
      <c r="S215">
        <v>599</v>
      </c>
      <c r="T215">
        <v>600.79999999999995</v>
      </c>
      <c r="U215" s="17">
        <v>4.95990004</v>
      </c>
      <c r="V215" s="60">
        <v>611</v>
      </c>
      <c r="W215" s="60">
        <v>610</v>
      </c>
      <c r="X215" s="60">
        <v>610</v>
      </c>
      <c r="Y215" s="60">
        <v>610</v>
      </c>
      <c r="Z215" s="60">
        <v>609</v>
      </c>
    </row>
    <row r="216" spans="1:26" x14ac:dyDescent="0.6">
      <c r="A216" s="6" t="s">
        <v>619</v>
      </c>
      <c r="B216" s="10">
        <v>20</v>
      </c>
      <c r="C216" s="13" t="s">
        <v>973</v>
      </c>
      <c r="D216" s="13" t="s">
        <v>976</v>
      </c>
      <c r="E216" s="13" t="s">
        <v>982</v>
      </c>
      <c r="F216" s="10">
        <v>5</v>
      </c>
      <c r="G216" s="10"/>
      <c r="H216" s="1">
        <v>823</v>
      </c>
      <c r="I216" s="1">
        <v>575</v>
      </c>
      <c r="J216" s="1">
        <v>575</v>
      </c>
      <c r="K216" s="2">
        <v>2</v>
      </c>
      <c r="L216">
        <v>575</v>
      </c>
      <c r="M216">
        <v>575</v>
      </c>
      <c r="N216">
        <v>575</v>
      </c>
      <c r="O216">
        <v>575</v>
      </c>
      <c r="P216">
        <v>575</v>
      </c>
      <c r="S216">
        <v>578</v>
      </c>
      <c r="T216">
        <v>578.79999999999995</v>
      </c>
      <c r="U216" s="17">
        <v>5.1394773000000002</v>
      </c>
      <c r="V216" s="60">
        <v>589</v>
      </c>
      <c r="W216" s="60">
        <v>589</v>
      </c>
      <c r="X216" s="60">
        <v>589</v>
      </c>
      <c r="Y216" s="60">
        <v>590</v>
      </c>
      <c r="Z216" s="60">
        <v>590</v>
      </c>
    </row>
    <row r="217" spans="1:26" x14ac:dyDescent="0.6">
      <c r="A217" s="6" t="s">
        <v>620</v>
      </c>
      <c r="B217" s="10">
        <v>20</v>
      </c>
      <c r="C217" s="13" t="s">
        <v>973</v>
      </c>
      <c r="D217" s="13" t="s">
        <v>976</v>
      </c>
      <c r="E217" s="13" t="s">
        <v>982</v>
      </c>
      <c r="F217" s="10">
        <v>6</v>
      </c>
      <c r="G217" s="10"/>
      <c r="H217" s="1">
        <v>790</v>
      </c>
      <c r="I217" s="1">
        <v>615</v>
      </c>
      <c r="J217" s="1">
        <v>615</v>
      </c>
      <c r="K217" s="2">
        <v>2.0099999999999998</v>
      </c>
      <c r="L217">
        <v>615</v>
      </c>
      <c r="M217">
        <v>615</v>
      </c>
      <c r="N217">
        <v>615</v>
      </c>
      <c r="O217">
        <v>615</v>
      </c>
      <c r="P217">
        <v>615</v>
      </c>
      <c r="S217">
        <v>618</v>
      </c>
      <c r="T217">
        <v>621</v>
      </c>
      <c r="U217" s="17">
        <v>5.1565459799999998</v>
      </c>
      <c r="V217" s="60">
        <v>632</v>
      </c>
      <c r="W217" s="60">
        <v>630</v>
      </c>
      <c r="X217" s="60">
        <v>631</v>
      </c>
      <c r="Y217" s="60">
        <v>627</v>
      </c>
      <c r="Z217" s="60">
        <v>628</v>
      </c>
    </row>
    <row r="218" spans="1:26" x14ac:dyDescent="0.6">
      <c r="A218" s="6" t="s">
        <v>621</v>
      </c>
      <c r="B218" s="10">
        <v>20</v>
      </c>
      <c r="C218" s="13" t="s">
        <v>973</v>
      </c>
      <c r="D218" s="13" t="s">
        <v>976</v>
      </c>
      <c r="E218" s="13" t="s">
        <v>982</v>
      </c>
      <c r="F218" s="10">
        <v>7</v>
      </c>
      <c r="G218" s="10"/>
      <c r="H218" s="1">
        <v>697</v>
      </c>
      <c r="I218" s="1">
        <v>596</v>
      </c>
      <c r="J218" s="1">
        <v>596</v>
      </c>
      <c r="K218" s="2">
        <v>2.0099999999999998</v>
      </c>
      <c r="L218">
        <v>596</v>
      </c>
      <c r="M218">
        <v>596</v>
      </c>
      <c r="N218">
        <v>596</v>
      </c>
      <c r="O218">
        <v>596</v>
      </c>
      <c r="P218">
        <v>596</v>
      </c>
      <c r="S218">
        <v>600</v>
      </c>
      <c r="T218">
        <v>601.20000000000005</v>
      </c>
      <c r="U218" s="17">
        <v>4.9773216400000004</v>
      </c>
      <c r="V218" s="60">
        <v>609</v>
      </c>
      <c r="W218" s="60">
        <v>609</v>
      </c>
      <c r="X218" s="60">
        <v>608</v>
      </c>
      <c r="Y218" s="60">
        <v>608</v>
      </c>
      <c r="Z218" s="60">
        <v>608</v>
      </c>
    </row>
    <row r="219" spans="1:26" x14ac:dyDescent="0.6">
      <c r="A219" s="3" t="s">
        <v>622</v>
      </c>
      <c r="B219" s="10">
        <v>20</v>
      </c>
      <c r="C219" s="13" t="s">
        <v>973</v>
      </c>
      <c r="D219" s="13" t="s">
        <v>976</v>
      </c>
      <c r="E219" s="13" t="s">
        <v>982</v>
      </c>
      <c r="F219" s="10">
        <v>8</v>
      </c>
      <c r="G219" s="4"/>
      <c r="H219" s="1">
        <v>786</v>
      </c>
      <c r="I219" s="1">
        <v>588</v>
      </c>
      <c r="J219" s="1">
        <v>588.6</v>
      </c>
      <c r="K219" s="2">
        <v>2</v>
      </c>
      <c r="L219">
        <v>588</v>
      </c>
      <c r="M219">
        <v>589</v>
      </c>
      <c r="N219">
        <v>588</v>
      </c>
      <c r="O219">
        <v>590</v>
      </c>
      <c r="P219">
        <v>588</v>
      </c>
      <c r="S219">
        <v>593</v>
      </c>
      <c r="T219">
        <v>595.4</v>
      </c>
      <c r="U219" s="17">
        <v>5.3378752199999999</v>
      </c>
      <c r="V219" s="60">
        <v>605</v>
      </c>
      <c r="W219" s="60">
        <v>605</v>
      </c>
      <c r="X219" s="60">
        <v>608</v>
      </c>
      <c r="Y219" s="60">
        <v>602</v>
      </c>
      <c r="Z219" s="60">
        <v>607</v>
      </c>
    </row>
    <row r="220" spans="1:26" x14ac:dyDescent="0.6">
      <c r="A220" s="3" t="s">
        <v>623</v>
      </c>
      <c r="B220" s="10">
        <v>20</v>
      </c>
      <c r="C220" s="13" t="s">
        <v>973</v>
      </c>
      <c r="D220" s="13" t="s">
        <v>976</v>
      </c>
      <c r="E220" s="13" t="s">
        <v>982</v>
      </c>
      <c r="F220" s="10">
        <v>9</v>
      </c>
      <c r="G220" s="4"/>
      <c r="H220" s="1">
        <v>766</v>
      </c>
      <c r="I220" s="1">
        <v>610</v>
      </c>
      <c r="J220" s="1">
        <v>610</v>
      </c>
      <c r="K220" s="2">
        <v>2.0099999999999998</v>
      </c>
      <c r="L220">
        <v>610</v>
      </c>
      <c r="M220">
        <v>610</v>
      </c>
      <c r="N220">
        <v>610</v>
      </c>
      <c r="O220">
        <v>610</v>
      </c>
      <c r="P220">
        <v>610</v>
      </c>
      <c r="S220">
        <v>611</v>
      </c>
      <c r="T220">
        <v>615</v>
      </c>
      <c r="U220" s="17">
        <v>6.4385448800000002</v>
      </c>
      <c r="V220" s="60">
        <v>640</v>
      </c>
      <c r="W220" s="60">
        <v>638</v>
      </c>
      <c r="X220" s="60">
        <v>644</v>
      </c>
      <c r="Y220" s="60">
        <v>643</v>
      </c>
      <c r="Z220" s="60">
        <v>635</v>
      </c>
    </row>
    <row r="221" spans="1:26" x14ac:dyDescent="0.6">
      <c r="A221" s="6" t="s">
        <v>624</v>
      </c>
      <c r="B221" s="10">
        <v>20</v>
      </c>
      <c r="C221" s="13" t="s">
        <v>973</v>
      </c>
      <c r="D221" s="13" t="s">
        <v>976</v>
      </c>
      <c r="E221" s="13" t="s">
        <v>982</v>
      </c>
      <c r="F221" s="10">
        <v>10</v>
      </c>
      <c r="G221" s="10"/>
      <c r="H221" s="1">
        <v>737</v>
      </c>
      <c r="I221" s="1">
        <v>593</v>
      </c>
      <c r="J221" s="1">
        <v>593</v>
      </c>
      <c r="K221" s="2">
        <v>2.0099999999999998</v>
      </c>
      <c r="L221">
        <v>593</v>
      </c>
      <c r="M221">
        <v>593</v>
      </c>
      <c r="N221">
        <v>593</v>
      </c>
      <c r="O221">
        <v>593</v>
      </c>
      <c r="P221">
        <v>593</v>
      </c>
      <c r="S221">
        <v>596</v>
      </c>
      <c r="T221">
        <v>599.20000000000005</v>
      </c>
      <c r="U221" s="17">
        <v>5.2558211400000001</v>
      </c>
      <c r="V221" s="60">
        <v>608</v>
      </c>
      <c r="W221" s="60">
        <v>608</v>
      </c>
      <c r="X221" s="60">
        <v>604</v>
      </c>
      <c r="Y221" s="60">
        <v>608</v>
      </c>
      <c r="Z221" s="60">
        <v>605</v>
      </c>
    </row>
    <row r="222" spans="1:26" x14ac:dyDescent="0.6">
      <c r="A222" s="6" t="s">
        <v>625</v>
      </c>
      <c r="B222" s="10">
        <v>20</v>
      </c>
      <c r="C222" s="13" t="s">
        <v>973</v>
      </c>
      <c r="D222" s="13" t="s">
        <v>979</v>
      </c>
      <c r="E222" s="13" t="s">
        <v>981</v>
      </c>
      <c r="F222" s="10">
        <v>1</v>
      </c>
      <c r="G222" s="10"/>
      <c r="H222" s="1">
        <v>720</v>
      </c>
      <c r="I222" s="1">
        <v>681</v>
      </c>
      <c r="J222" s="1">
        <v>681</v>
      </c>
      <c r="K222" s="2">
        <v>2</v>
      </c>
      <c r="L222">
        <v>681</v>
      </c>
      <c r="M222">
        <v>681</v>
      </c>
      <c r="N222">
        <v>681</v>
      </c>
      <c r="O222">
        <v>681</v>
      </c>
      <c r="P222">
        <v>681</v>
      </c>
      <c r="S222">
        <v>683</v>
      </c>
      <c r="T222">
        <v>685.6</v>
      </c>
      <c r="U222" s="17">
        <v>5.2006664000000002</v>
      </c>
      <c r="V222" s="60">
        <v>691</v>
      </c>
      <c r="W222" s="60">
        <v>693</v>
      </c>
      <c r="X222" s="60">
        <v>690</v>
      </c>
      <c r="Y222" s="60">
        <v>693</v>
      </c>
      <c r="Z222" s="60">
        <v>693</v>
      </c>
    </row>
    <row r="223" spans="1:26" x14ac:dyDescent="0.6">
      <c r="A223" s="6" t="s">
        <v>626</v>
      </c>
      <c r="B223" s="10">
        <v>20</v>
      </c>
      <c r="C223" s="13" t="s">
        <v>973</v>
      </c>
      <c r="D223" s="13" t="s">
        <v>979</v>
      </c>
      <c r="E223" s="13" t="s">
        <v>983</v>
      </c>
      <c r="F223" s="10">
        <v>2</v>
      </c>
      <c r="G223" s="10"/>
      <c r="H223" s="1">
        <v>725</v>
      </c>
      <c r="I223" s="1">
        <v>664</v>
      </c>
      <c r="J223" s="1">
        <v>664</v>
      </c>
      <c r="K223" s="2">
        <v>2.0099999999999998</v>
      </c>
      <c r="L223">
        <v>664</v>
      </c>
      <c r="M223">
        <v>664</v>
      </c>
      <c r="N223">
        <v>664</v>
      </c>
      <c r="O223">
        <v>664</v>
      </c>
      <c r="P223">
        <v>664</v>
      </c>
      <c r="S223">
        <v>667</v>
      </c>
      <c r="T223">
        <v>668.8</v>
      </c>
      <c r="U223" s="17">
        <v>5.0457997199999998</v>
      </c>
      <c r="V223" s="60">
        <v>674</v>
      </c>
      <c r="W223" s="60">
        <v>676</v>
      </c>
      <c r="X223" s="60">
        <v>677</v>
      </c>
      <c r="Y223" s="60">
        <v>675</v>
      </c>
      <c r="Z223" s="60">
        <v>675</v>
      </c>
    </row>
    <row r="224" spans="1:26" x14ac:dyDescent="0.6">
      <c r="A224" s="6" t="s">
        <v>627</v>
      </c>
      <c r="B224" s="10">
        <v>20</v>
      </c>
      <c r="C224" s="13" t="s">
        <v>973</v>
      </c>
      <c r="D224" s="13" t="s">
        <v>978</v>
      </c>
      <c r="E224" s="13" t="s">
        <v>980</v>
      </c>
      <c r="F224" s="10">
        <v>3</v>
      </c>
      <c r="G224" s="10"/>
      <c r="H224" s="1">
        <v>799</v>
      </c>
      <c r="I224" s="1">
        <v>679</v>
      </c>
      <c r="J224" s="1">
        <v>679</v>
      </c>
      <c r="K224" s="2">
        <v>2.0099999999999998</v>
      </c>
      <c r="L224">
        <v>679</v>
      </c>
      <c r="M224">
        <v>679</v>
      </c>
      <c r="N224">
        <v>679</v>
      </c>
      <c r="O224">
        <v>679</v>
      </c>
      <c r="P224">
        <v>679</v>
      </c>
      <c r="S224">
        <v>682</v>
      </c>
      <c r="T224">
        <v>683</v>
      </c>
      <c r="U224" s="17">
        <v>5.2418016600000001</v>
      </c>
      <c r="V224" s="60">
        <v>692</v>
      </c>
      <c r="W224" s="60">
        <v>691</v>
      </c>
      <c r="X224" s="60">
        <v>691</v>
      </c>
      <c r="Y224" s="60">
        <v>693</v>
      </c>
      <c r="Z224" s="60">
        <v>690</v>
      </c>
    </row>
    <row r="225" spans="1:26" x14ac:dyDescent="0.6">
      <c r="A225" s="6" t="s">
        <v>628</v>
      </c>
      <c r="B225" s="10">
        <v>20</v>
      </c>
      <c r="C225" s="13" t="s">
        <v>973</v>
      </c>
      <c r="D225" s="13" t="s">
        <v>978</v>
      </c>
      <c r="E225" s="13" t="s">
        <v>980</v>
      </c>
      <c r="F225" s="10">
        <v>4</v>
      </c>
      <c r="G225" s="10"/>
      <c r="H225" s="1">
        <v>747</v>
      </c>
      <c r="I225" s="1">
        <v>690</v>
      </c>
      <c r="J225" s="1">
        <v>690.6</v>
      </c>
      <c r="K225" s="2">
        <v>2.0099999999999998</v>
      </c>
      <c r="L225">
        <v>691</v>
      </c>
      <c r="M225">
        <v>690</v>
      </c>
      <c r="N225">
        <v>690</v>
      </c>
      <c r="O225">
        <v>691</v>
      </c>
      <c r="P225">
        <v>691</v>
      </c>
      <c r="S225">
        <v>693</v>
      </c>
      <c r="T225">
        <v>696</v>
      </c>
      <c r="U225" s="17">
        <v>4.8699491799999999</v>
      </c>
      <c r="V225" s="60">
        <v>702</v>
      </c>
      <c r="W225" s="60">
        <v>704</v>
      </c>
      <c r="X225" s="60">
        <v>704</v>
      </c>
      <c r="Y225" s="60">
        <v>702</v>
      </c>
      <c r="Z225" s="60">
        <v>704</v>
      </c>
    </row>
    <row r="226" spans="1:26" x14ac:dyDescent="0.6">
      <c r="A226" s="3" t="s">
        <v>629</v>
      </c>
      <c r="B226" s="10">
        <v>20</v>
      </c>
      <c r="C226" s="13" t="s">
        <v>973</v>
      </c>
      <c r="D226" s="13" t="s">
        <v>978</v>
      </c>
      <c r="E226" s="13" t="s">
        <v>980</v>
      </c>
      <c r="F226" s="10">
        <v>5</v>
      </c>
      <c r="G226" s="4"/>
      <c r="H226" s="1">
        <v>793</v>
      </c>
      <c r="I226" s="1">
        <v>669</v>
      </c>
      <c r="J226" s="1">
        <v>669</v>
      </c>
      <c r="K226" s="2">
        <v>2.0099999999999998</v>
      </c>
      <c r="L226">
        <v>669</v>
      </c>
      <c r="M226">
        <v>669</v>
      </c>
      <c r="N226">
        <v>669</v>
      </c>
      <c r="O226">
        <v>669</v>
      </c>
      <c r="P226">
        <v>669</v>
      </c>
      <c r="S226">
        <v>672</v>
      </c>
      <c r="T226">
        <v>674.6</v>
      </c>
      <c r="U226" s="17">
        <v>5.1094676999999997</v>
      </c>
      <c r="V226" s="60">
        <v>681</v>
      </c>
      <c r="W226" s="60">
        <v>681</v>
      </c>
      <c r="X226" s="60">
        <v>682</v>
      </c>
      <c r="Y226" s="60">
        <v>681</v>
      </c>
      <c r="Z226" s="60">
        <v>683</v>
      </c>
    </row>
    <row r="227" spans="1:26" x14ac:dyDescent="0.6">
      <c r="A227" s="6" t="s">
        <v>630</v>
      </c>
      <c r="B227" s="10">
        <v>20</v>
      </c>
      <c r="C227" s="13" t="s">
        <v>973</v>
      </c>
      <c r="D227" s="13" t="s">
        <v>978</v>
      </c>
      <c r="E227" s="13" t="s">
        <v>980</v>
      </c>
      <c r="F227" s="10">
        <v>6</v>
      </c>
      <c r="G227" s="10"/>
      <c r="H227" s="1">
        <v>790</v>
      </c>
      <c r="I227" s="1">
        <v>710</v>
      </c>
      <c r="J227" s="1">
        <v>710</v>
      </c>
      <c r="K227" s="2">
        <v>2.0099999999999998</v>
      </c>
      <c r="L227">
        <v>710</v>
      </c>
      <c r="M227">
        <v>710</v>
      </c>
      <c r="N227">
        <v>710</v>
      </c>
      <c r="O227">
        <v>710</v>
      </c>
      <c r="P227">
        <v>710</v>
      </c>
      <c r="S227">
        <v>713</v>
      </c>
      <c r="T227">
        <v>716.6</v>
      </c>
      <c r="U227" s="17">
        <v>5.2528623999999997</v>
      </c>
      <c r="V227" s="60">
        <v>724</v>
      </c>
      <c r="W227" s="60">
        <v>724</v>
      </c>
      <c r="X227" s="60">
        <v>720</v>
      </c>
      <c r="Y227" s="60">
        <v>723</v>
      </c>
      <c r="Z227" s="60">
        <v>723</v>
      </c>
    </row>
    <row r="228" spans="1:26" x14ac:dyDescent="0.6">
      <c r="A228" s="6" t="s">
        <v>631</v>
      </c>
      <c r="B228" s="10">
        <v>20</v>
      </c>
      <c r="C228" s="13" t="s">
        <v>973</v>
      </c>
      <c r="D228" s="13" t="s">
        <v>978</v>
      </c>
      <c r="E228" s="13" t="s">
        <v>980</v>
      </c>
      <c r="F228" s="10">
        <v>7</v>
      </c>
      <c r="G228" s="10"/>
      <c r="H228" s="1">
        <v>729</v>
      </c>
      <c r="I228" s="1">
        <v>691</v>
      </c>
      <c r="J228" s="1">
        <v>691</v>
      </c>
      <c r="K228" s="2">
        <v>2.0099999999999998</v>
      </c>
      <c r="L228">
        <v>691</v>
      </c>
      <c r="M228">
        <v>691</v>
      </c>
      <c r="N228">
        <v>691</v>
      </c>
      <c r="O228">
        <v>691</v>
      </c>
      <c r="P228">
        <v>691</v>
      </c>
      <c r="S228">
        <v>695</v>
      </c>
      <c r="T228">
        <v>696.4</v>
      </c>
      <c r="U228" s="17">
        <v>4.7926715800000004</v>
      </c>
      <c r="V228" s="60">
        <v>703</v>
      </c>
      <c r="W228" s="60">
        <v>701</v>
      </c>
      <c r="X228" s="60">
        <v>704</v>
      </c>
      <c r="Y228" s="60">
        <v>704</v>
      </c>
      <c r="Z228" s="60">
        <v>703</v>
      </c>
    </row>
    <row r="229" spans="1:26" x14ac:dyDescent="0.6">
      <c r="A229" s="6" t="s">
        <v>632</v>
      </c>
      <c r="B229" s="10">
        <v>20</v>
      </c>
      <c r="C229" s="13" t="s">
        <v>973</v>
      </c>
      <c r="D229" s="13" t="s">
        <v>978</v>
      </c>
      <c r="E229" s="13" t="s">
        <v>980</v>
      </c>
      <c r="F229" s="10">
        <v>8</v>
      </c>
      <c r="G229" s="10"/>
      <c r="H229" s="1">
        <v>769</v>
      </c>
      <c r="I229" s="1">
        <v>683</v>
      </c>
      <c r="J229" s="1">
        <v>683.2</v>
      </c>
      <c r="K229" s="2">
        <v>2.0099999999999998</v>
      </c>
      <c r="L229">
        <v>683</v>
      </c>
      <c r="M229">
        <v>683</v>
      </c>
      <c r="N229">
        <v>683</v>
      </c>
      <c r="O229">
        <v>684</v>
      </c>
      <c r="P229">
        <v>683</v>
      </c>
      <c r="S229">
        <v>686</v>
      </c>
      <c r="T229">
        <v>687.2</v>
      </c>
      <c r="U229" s="17">
        <v>5.4518457400000004</v>
      </c>
      <c r="V229" s="60">
        <v>696</v>
      </c>
      <c r="W229" s="60">
        <v>693</v>
      </c>
      <c r="X229" s="60">
        <v>694</v>
      </c>
      <c r="Y229" s="60">
        <v>695</v>
      </c>
      <c r="Z229" s="60">
        <v>695</v>
      </c>
    </row>
    <row r="230" spans="1:26" x14ac:dyDescent="0.6">
      <c r="A230" s="6" t="s">
        <v>633</v>
      </c>
      <c r="B230" s="10">
        <v>20</v>
      </c>
      <c r="C230" s="13" t="s">
        <v>973</v>
      </c>
      <c r="D230" s="13" t="s">
        <v>978</v>
      </c>
      <c r="E230" s="13" t="s">
        <v>980</v>
      </c>
      <c r="F230" s="10">
        <v>9</v>
      </c>
      <c r="G230" s="10"/>
      <c r="H230" s="1">
        <v>778</v>
      </c>
      <c r="I230" s="1">
        <v>701</v>
      </c>
      <c r="J230" s="1">
        <v>701</v>
      </c>
      <c r="K230" s="2">
        <v>2.0099999999999998</v>
      </c>
      <c r="L230">
        <v>701</v>
      </c>
      <c r="M230">
        <v>701</v>
      </c>
      <c r="N230">
        <v>701</v>
      </c>
      <c r="O230">
        <v>701</v>
      </c>
      <c r="P230">
        <v>701</v>
      </c>
      <c r="S230">
        <v>701</v>
      </c>
      <c r="T230">
        <v>706.4</v>
      </c>
      <c r="U230" s="17">
        <v>6.1059387599999999</v>
      </c>
      <c r="V230" s="60">
        <v>716</v>
      </c>
      <c r="W230" s="60">
        <v>716</v>
      </c>
      <c r="X230" s="60">
        <v>714</v>
      </c>
      <c r="Y230" s="60">
        <v>715</v>
      </c>
      <c r="Z230" s="60">
        <v>718</v>
      </c>
    </row>
    <row r="231" spans="1:26" x14ac:dyDescent="0.6">
      <c r="A231" s="6" t="s">
        <v>634</v>
      </c>
      <c r="B231" s="10">
        <v>20</v>
      </c>
      <c r="C231" s="13" t="s">
        <v>973</v>
      </c>
      <c r="D231" s="13" t="s">
        <v>978</v>
      </c>
      <c r="E231" s="13" t="s">
        <v>980</v>
      </c>
      <c r="F231" s="10">
        <v>10</v>
      </c>
      <c r="G231" s="10"/>
      <c r="H231" s="1">
        <v>742</v>
      </c>
      <c r="I231" s="1">
        <v>688</v>
      </c>
      <c r="J231" s="1">
        <v>688</v>
      </c>
      <c r="K231" s="2">
        <v>2.0099999999999998</v>
      </c>
      <c r="L231">
        <v>688</v>
      </c>
      <c r="M231">
        <v>688</v>
      </c>
      <c r="N231">
        <v>688</v>
      </c>
      <c r="O231">
        <v>688</v>
      </c>
      <c r="P231">
        <v>688</v>
      </c>
      <c r="S231">
        <v>689</v>
      </c>
      <c r="T231">
        <v>692.8</v>
      </c>
      <c r="U231" s="17">
        <v>5.0923594799999998</v>
      </c>
      <c r="V231" s="60">
        <v>701</v>
      </c>
      <c r="W231" s="60">
        <v>701</v>
      </c>
      <c r="X231" s="60">
        <v>702</v>
      </c>
      <c r="Y231" s="60">
        <v>701</v>
      </c>
      <c r="Z231" s="60">
        <v>701</v>
      </c>
    </row>
    <row r="232" spans="1:26" x14ac:dyDescent="0.6">
      <c r="A232" s="6" t="s">
        <v>635</v>
      </c>
      <c r="B232" s="10">
        <v>20</v>
      </c>
      <c r="C232" s="13" t="s">
        <v>973</v>
      </c>
      <c r="D232" s="13" t="s">
        <v>978</v>
      </c>
      <c r="E232" s="13" t="s">
        <v>984</v>
      </c>
      <c r="F232" s="10">
        <v>1</v>
      </c>
      <c r="G232" s="10"/>
      <c r="H232" s="1">
        <v>740</v>
      </c>
      <c r="I232" s="1">
        <v>681</v>
      </c>
      <c r="J232" s="1">
        <v>681</v>
      </c>
      <c r="K232" s="2">
        <v>2.0099999999999998</v>
      </c>
      <c r="L232">
        <v>681</v>
      </c>
      <c r="M232">
        <v>681</v>
      </c>
      <c r="N232">
        <v>681</v>
      </c>
      <c r="O232">
        <v>681</v>
      </c>
      <c r="P232">
        <v>681</v>
      </c>
      <c r="S232">
        <v>683</v>
      </c>
      <c r="T232">
        <v>686.6</v>
      </c>
      <c r="U232" s="17">
        <v>5.1873774600000004</v>
      </c>
      <c r="V232" s="60">
        <v>695</v>
      </c>
      <c r="W232" s="60">
        <v>695</v>
      </c>
      <c r="X232" s="60">
        <v>692</v>
      </c>
      <c r="Y232" s="60">
        <v>696</v>
      </c>
      <c r="Z232" s="60">
        <v>691</v>
      </c>
    </row>
    <row r="233" spans="1:26" x14ac:dyDescent="0.6">
      <c r="A233" s="6" t="s">
        <v>636</v>
      </c>
      <c r="B233" s="10">
        <v>20</v>
      </c>
      <c r="C233" s="13" t="s">
        <v>973</v>
      </c>
      <c r="D233" s="13" t="s">
        <v>978</v>
      </c>
      <c r="E233" s="13" t="s">
        <v>985</v>
      </c>
      <c r="F233" s="10">
        <v>2</v>
      </c>
      <c r="G233" s="10"/>
      <c r="H233" s="1">
        <v>767</v>
      </c>
      <c r="I233" s="1">
        <v>664</v>
      </c>
      <c r="J233" s="1">
        <v>664</v>
      </c>
      <c r="K233" s="2">
        <v>2.0099999999999998</v>
      </c>
      <c r="L233">
        <v>664</v>
      </c>
      <c r="M233">
        <v>664</v>
      </c>
      <c r="N233">
        <v>664</v>
      </c>
      <c r="O233">
        <v>664</v>
      </c>
      <c r="P233">
        <v>664</v>
      </c>
      <c r="S233">
        <v>668</v>
      </c>
      <c r="T233">
        <v>670.4</v>
      </c>
      <c r="U233" s="17">
        <v>5.1871549400000001</v>
      </c>
      <c r="V233" s="60">
        <v>677</v>
      </c>
      <c r="W233" s="60">
        <v>679</v>
      </c>
      <c r="X233" s="60">
        <v>677</v>
      </c>
      <c r="Y233" s="60">
        <v>677</v>
      </c>
      <c r="Z233" s="60">
        <v>676</v>
      </c>
    </row>
    <row r="234" spans="1:26" x14ac:dyDescent="0.6">
      <c r="A234" s="6" t="s">
        <v>637</v>
      </c>
      <c r="B234" s="10">
        <v>20</v>
      </c>
      <c r="C234" s="13" t="s">
        <v>973</v>
      </c>
      <c r="D234" s="13" t="s">
        <v>978</v>
      </c>
      <c r="E234" s="13" t="s">
        <v>982</v>
      </c>
      <c r="F234" s="10">
        <v>3</v>
      </c>
      <c r="G234" s="10"/>
      <c r="H234" s="1">
        <v>899</v>
      </c>
      <c r="I234" s="1">
        <v>680</v>
      </c>
      <c r="J234" s="1">
        <v>680</v>
      </c>
      <c r="K234" s="2">
        <v>2.0099999999999998</v>
      </c>
      <c r="L234">
        <v>680</v>
      </c>
      <c r="M234">
        <v>680</v>
      </c>
      <c r="N234">
        <v>680</v>
      </c>
      <c r="O234">
        <v>680</v>
      </c>
      <c r="P234">
        <v>680</v>
      </c>
      <c r="S234">
        <v>682</v>
      </c>
      <c r="T234">
        <v>683</v>
      </c>
      <c r="U234" s="17">
        <v>5.4763249600000004</v>
      </c>
      <c r="V234" s="60">
        <v>694</v>
      </c>
      <c r="W234" s="60">
        <v>693</v>
      </c>
      <c r="X234" s="60">
        <v>692</v>
      </c>
      <c r="Y234" s="60">
        <v>693</v>
      </c>
      <c r="Z234" s="60">
        <v>693</v>
      </c>
    </row>
    <row r="235" spans="1:26" x14ac:dyDescent="0.6">
      <c r="A235" s="6" t="s">
        <v>638</v>
      </c>
      <c r="B235" s="10">
        <v>20</v>
      </c>
      <c r="C235" s="13" t="s">
        <v>973</v>
      </c>
      <c r="D235" s="13" t="s">
        <v>978</v>
      </c>
      <c r="E235" s="13" t="s">
        <v>982</v>
      </c>
      <c r="F235" s="10">
        <v>4</v>
      </c>
      <c r="G235" s="10"/>
      <c r="H235" s="1">
        <v>808</v>
      </c>
      <c r="I235" s="1">
        <v>690</v>
      </c>
      <c r="J235" s="1">
        <v>690.8</v>
      </c>
      <c r="K235" s="2">
        <v>2.0099999999999998</v>
      </c>
      <c r="L235">
        <v>690</v>
      </c>
      <c r="M235">
        <v>691</v>
      </c>
      <c r="N235">
        <v>691</v>
      </c>
      <c r="O235">
        <v>691</v>
      </c>
      <c r="P235">
        <v>691</v>
      </c>
      <c r="S235">
        <v>694</v>
      </c>
      <c r="T235">
        <v>694.8</v>
      </c>
      <c r="U235" s="17">
        <v>4.9149725399999999</v>
      </c>
      <c r="V235" s="60">
        <v>706</v>
      </c>
      <c r="W235" s="60">
        <v>703</v>
      </c>
      <c r="X235" s="60">
        <v>705</v>
      </c>
      <c r="Y235" s="60">
        <v>703</v>
      </c>
      <c r="Z235" s="60">
        <v>704</v>
      </c>
    </row>
    <row r="236" spans="1:26" x14ac:dyDescent="0.6">
      <c r="A236" s="3" t="s">
        <v>639</v>
      </c>
      <c r="B236" s="10">
        <v>20</v>
      </c>
      <c r="C236" s="13" t="s">
        <v>973</v>
      </c>
      <c r="D236" s="13" t="s">
        <v>978</v>
      </c>
      <c r="E236" s="13" t="s">
        <v>982</v>
      </c>
      <c r="F236" s="10">
        <v>5</v>
      </c>
      <c r="G236" s="4"/>
      <c r="H236" s="1">
        <v>893</v>
      </c>
      <c r="I236" s="1">
        <v>669</v>
      </c>
      <c r="J236" s="1">
        <v>669.6</v>
      </c>
      <c r="K236" s="2">
        <v>2.0099999999999998</v>
      </c>
      <c r="L236">
        <v>669</v>
      </c>
      <c r="M236">
        <v>669</v>
      </c>
      <c r="N236">
        <v>670</v>
      </c>
      <c r="O236">
        <v>670</v>
      </c>
      <c r="P236">
        <v>670</v>
      </c>
      <c r="S236">
        <v>673</v>
      </c>
      <c r="T236">
        <v>675.2</v>
      </c>
      <c r="U236" s="17">
        <v>5.1529116200000002</v>
      </c>
      <c r="V236" s="60">
        <v>683</v>
      </c>
      <c r="W236" s="60">
        <v>686</v>
      </c>
      <c r="X236" s="60">
        <v>685</v>
      </c>
      <c r="Y236" s="60">
        <v>685</v>
      </c>
      <c r="Z236" s="60">
        <v>686</v>
      </c>
    </row>
    <row r="237" spans="1:26" x14ac:dyDescent="0.6">
      <c r="A237" s="6" t="s">
        <v>640</v>
      </c>
      <c r="B237" s="10">
        <v>20</v>
      </c>
      <c r="C237" s="13" t="s">
        <v>973</v>
      </c>
      <c r="D237" s="13" t="s">
        <v>978</v>
      </c>
      <c r="E237" s="13" t="s">
        <v>982</v>
      </c>
      <c r="F237" s="10">
        <v>6</v>
      </c>
      <c r="G237" s="10"/>
      <c r="H237" s="1">
        <v>860</v>
      </c>
      <c r="I237" s="1">
        <v>710</v>
      </c>
      <c r="J237" s="1">
        <v>710</v>
      </c>
      <c r="K237" s="2">
        <v>2.0099999999999998</v>
      </c>
      <c r="L237">
        <v>710</v>
      </c>
      <c r="M237">
        <v>710</v>
      </c>
      <c r="N237">
        <v>710</v>
      </c>
      <c r="O237">
        <v>710</v>
      </c>
      <c r="P237">
        <v>710</v>
      </c>
      <c r="S237">
        <v>715</v>
      </c>
      <c r="T237">
        <v>720.2</v>
      </c>
      <c r="U237" s="17">
        <v>5.0865010599999998</v>
      </c>
      <c r="V237" s="60">
        <v>723</v>
      </c>
      <c r="W237" s="60">
        <v>722</v>
      </c>
      <c r="X237" s="60">
        <v>726</v>
      </c>
      <c r="Y237" s="60">
        <v>723</v>
      </c>
      <c r="Z237" s="60">
        <v>724</v>
      </c>
    </row>
    <row r="238" spans="1:26" x14ac:dyDescent="0.6">
      <c r="A238" s="6" t="s">
        <v>641</v>
      </c>
      <c r="B238" s="10">
        <v>20</v>
      </c>
      <c r="C238" s="13" t="s">
        <v>973</v>
      </c>
      <c r="D238" s="13" t="s">
        <v>978</v>
      </c>
      <c r="E238" s="13" t="s">
        <v>982</v>
      </c>
      <c r="F238" s="10">
        <v>7</v>
      </c>
      <c r="G238" s="10"/>
      <c r="H238" s="1">
        <v>767</v>
      </c>
      <c r="I238" s="1">
        <v>691</v>
      </c>
      <c r="J238" s="1">
        <v>691</v>
      </c>
      <c r="K238" s="2">
        <v>2.0099999999999998</v>
      </c>
      <c r="L238">
        <v>691</v>
      </c>
      <c r="M238">
        <v>691</v>
      </c>
      <c r="N238">
        <v>691</v>
      </c>
      <c r="O238">
        <v>691</v>
      </c>
      <c r="P238">
        <v>691</v>
      </c>
      <c r="S238">
        <v>695</v>
      </c>
      <c r="T238">
        <v>695.8</v>
      </c>
      <c r="U238" s="17">
        <v>5.1565151800000004</v>
      </c>
      <c r="V238" s="60">
        <v>702</v>
      </c>
      <c r="W238" s="60">
        <v>703</v>
      </c>
      <c r="X238" s="60">
        <v>704</v>
      </c>
      <c r="Y238" s="60">
        <v>703</v>
      </c>
      <c r="Z238" s="60">
        <v>703</v>
      </c>
    </row>
    <row r="239" spans="1:26" x14ac:dyDescent="0.6">
      <c r="A239" s="6" t="s">
        <v>642</v>
      </c>
      <c r="B239" s="10">
        <v>20</v>
      </c>
      <c r="C239" s="13" t="s">
        <v>973</v>
      </c>
      <c r="D239" s="13" t="s">
        <v>978</v>
      </c>
      <c r="E239" s="13" t="s">
        <v>982</v>
      </c>
      <c r="F239" s="10">
        <v>8</v>
      </c>
      <c r="G239" s="10"/>
      <c r="H239" s="1">
        <v>851</v>
      </c>
      <c r="I239" s="1">
        <v>683</v>
      </c>
      <c r="J239" s="1">
        <v>683.2</v>
      </c>
      <c r="K239" s="2">
        <v>2.0099999999999998</v>
      </c>
      <c r="L239">
        <v>683</v>
      </c>
      <c r="M239">
        <v>683</v>
      </c>
      <c r="N239">
        <v>684</v>
      </c>
      <c r="O239">
        <v>683</v>
      </c>
      <c r="P239">
        <v>683</v>
      </c>
      <c r="S239">
        <v>686</v>
      </c>
      <c r="T239">
        <v>688.4</v>
      </c>
      <c r="U239" s="17">
        <v>5.4183084399999997</v>
      </c>
      <c r="V239" s="60">
        <v>699</v>
      </c>
      <c r="W239" s="60">
        <v>700</v>
      </c>
      <c r="X239" s="60">
        <v>694</v>
      </c>
      <c r="Y239" s="60">
        <v>700</v>
      </c>
      <c r="Z239" s="60">
        <v>698</v>
      </c>
    </row>
    <row r="240" spans="1:26" x14ac:dyDescent="0.6">
      <c r="A240" s="6" t="s">
        <v>643</v>
      </c>
      <c r="B240" s="10">
        <v>20</v>
      </c>
      <c r="C240" s="13" t="s">
        <v>973</v>
      </c>
      <c r="D240" s="13" t="s">
        <v>978</v>
      </c>
      <c r="E240" s="13" t="s">
        <v>982</v>
      </c>
      <c r="F240" s="10">
        <v>9</v>
      </c>
      <c r="G240" s="10"/>
      <c r="H240" s="1">
        <v>838</v>
      </c>
      <c r="I240" s="1">
        <v>701</v>
      </c>
      <c r="J240" s="1">
        <v>701</v>
      </c>
      <c r="K240" s="2">
        <v>2.0099999999999998</v>
      </c>
      <c r="L240">
        <v>701</v>
      </c>
      <c r="M240">
        <v>701</v>
      </c>
      <c r="N240">
        <v>701</v>
      </c>
      <c r="O240">
        <v>701</v>
      </c>
      <c r="P240">
        <v>701</v>
      </c>
      <c r="S240">
        <v>704</v>
      </c>
      <c r="T240">
        <v>705</v>
      </c>
      <c r="U240" s="17">
        <v>6.5271194399999999</v>
      </c>
      <c r="V240" s="60">
        <v>721</v>
      </c>
      <c r="W240" s="60">
        <v>721</v>
      </c>
      <c r="X240" s="60">
        <v>715</v>
      </c>
      <c r="Y240" s="60">
        <v>716</v>
      </c>
      <c r="Z240" s="60">
        <v>722</v>
      </c>
    </row>
    <row r="241" spans="1:26" x14ac:dyDescent="0.6">
      <c r="A241" s="6" t="s">
        <v>644</v>
      </c>
      <c r="B241" s="10">
        <v>20</v>
      </c>
      <c r="C241" s="13" t="s">
        <v>973</v>
      </c>
      <c r="D241" s="13" t="s">
        <v>978</v>
      </c>
      <c r="E241" s="13" t="s">
        <v>982</v>
      </c>
      <c r="F241" s="10">
        <v>10</v>
      </c>
      <c r="G241" s="10"/>
      <c r="H241" s="1">
        <v>807</v>
      </c>
      <c r="I241" s="1">
        <v>688</v>
      </c>
      <c r="J241" s="1">
        <v>688</v>
      </c>
      <c r="K241" s="2">
        <v>2.0099999999999998</v>
      </c>
      <c r="L241">
        <v>688</v>
      </c>
      <c r="M241">
        <v>688</v>
      </c>
      <c r="N241">
        <v>688</v>
      </c>
      <c r="O241">
        <v>688</v>
      </c>
      <c r="P241">
        <v>688</v>
      </c>
      <c r="S241">
        <v>692</v>
      </c>
      <c r="T241">
        <v>693.4</v>
      </c>
      <c r="U241" s="17">
        <v>5.1069760999999998</v>
      </c>
      <c r="V241" s="60">
        <v>701</v>
      </c>
      <c r="W241" s="60">
        <v>702</v>
      </c>
      <c r="X241" s="60">
        <v>699</v>
      </c>
      <c r="Y241" s="60">
        <v>700</v>
      </c>
      <c r="Z241" s="60">
        <v>703</v>
      </c>
    </row>
    <row r="242" spans="1:26" x14ac:dyDescent="0.6">
      <c r="A242" s="6" t="s">
        <v>645</v>
      </c>
      <c r="B242" s="10">
        <v>25</v>
      </c>
      <c r="C242" s="12" t="s">
        <v>971</v>
      </c>
      <c r="D242" s="13" t="s">
        <v>977</v>
      </c>
      <c r="E242" s="13" t="s">
        <v>981</v>
      </c>
      <c r="F242" s="10">
        <v>1</v>
      </c>
      <c r="G242" s="10"/>
      <c r="H242" s="1">
        <v>629</v>
      </c>
      <c r="I242" s="1">
        <v>482</v>
      </c>
      <c r="J242" s="1">
        <v>482.4</v>
      </c>
      <c r="K242" s="2">
        <v>2.5</v>
      </c>
      <c r="L242">
        <v>483</v>
      </c>
      <c r="M242">
        <v>483</v>
      </c>
      <c r="N242">
        <v>482</v>
      </c>
      <c r="O242">
        <v>482</v>
      </c>
      <c r="P242">
        <v>482</v>
      </c>
      <c r="S242">
        <v>487</v>
      </c>
      <c r="T242">
        <v>490</v>
      </c>
      <c r="U242" s="17">
        <v>5.8074347399999997</v>
      </c>
      <c r="V242" s="60">
        <v>500</v>
      </c>
      <c r="W242" s="60">
        <v>500</v>
      </c>
      <c r="X242" s="60">
        <v>503</v>
      </c>
      <c r="Y242" s="60">
        <v>502</v>
      </c>
      <c r="Z242" s="60">
        <v>500</v>
      </c>
    </row>
    <row r="243" spans="1:26" x14ac:dyDescent="0.6">
      <c r="A243" s="6" t="s">
        <v>646</v>
      </c>
      <c r="B243" s="10">
        <v>25</v>
      </c>
      <c r="C243" s="12" t="s">
        <v>972</v>
      </c>
      <c r="D243" s="13" t="s">
        <v>977</v>
      </c>
      <c r="E243" s="13" t="s">
        <v>983</v>
      </c>
      <c r="F243" s="10">
        <v>2</v>
      </c>
      <c r="G243" s="10"/>
      <c r="H243" s="1">
        <v>516</v>
      </c>
      <c r="I243" s="1">
        <v>465</v>
      </c>
      <c r="J243" s="1">
        <v>465</v>
      </c>
      <c r="K243" s="2">
        <v>2.5</v>
      </c>
      <c r="L243">
        <v>465</v>
      </c>
      <c r="M243">
        <v>465</v>
      </c>
      <c r="N243">
        <v>465</v>
      </c>
      <c r="O243">
        <v>465</v>
      </c>
      <c r="P243">
        <v>465</v>
      </c>
      <c r="S243">
        <v>471</v>
      </c>
      <c r="T243">
        <v>474.6</v>
      </c>
      <c r="U243" s="17">
        <v>6.0406323000000004</v>
      </c>
      <c r="V243" s="60">
        <v>488</v>
      </c>
      <c r="W243" s="60">
        <v>483</v>
      </c>
      <c r="X243" s="60">
        <v>484</v>
      </c>
      <c r="Y243" s="60">
        <v>487</v>
      </c>
      <c r="Z243" s="60">
        <v>486</v>
      </c>
    </row>
    <row r="244" spans="1:26" x14ac:dyDescent="0.6">
      <c r="A244" s="6" t="s">
        <v>647</v>
      </c>
      <c r="B244" s="10">
        <v>25</v>
      </c>
      <c r="C244" s="12" t="s">
        <v>970</v>
      </c>
      <c r="D244" s="13" t="s">
        <v>976</v>
      </c>
      <c r="E244" s="13" t="s">
        <v>980</v>
      </c>
      <c r="F244" s="10">
        <v>3</v>
      </c>
      <c r="G244" s="10"/>
      <c r="H244" s="1">
        <v>585</v>
      </c>
      <c r="I244" s="1">
        <v>478</v>
      </c>
      <c r="J244" s="1">
        <v>478</v>
      </c>
      <c r="K244" s="2">
        <v>2.5</v>
      </c>
      <c r="L244">
        <v>478</v>
      </c>
      <c r="M244">
        <v>478</v>
      </c>
      <c r="N244">
        <v>478</v>
      </c>
      <c r="O244">
        <v>478</v>
      </c>
      <c r="P244">
        <v>478</v>
      </c>
      <c r="S244">
        <v>484</v>
      </c>
      <c r="T244">
        <v>486.2</v>
      </c>
      <c r="U244" s="17">
        <v>5.9384192000000002</v>
      </c>
      <c r="V244" s="60">
        <v>499</v>
      </c>
      <c r="W244" s="60">
        <v>496</v>
      </c>
      <c r="X244" s="60">
        <v>496</v>
      </c>
      <c r="Y244" s="60">
        <v>496</v>
      </c>
      <c r="Z244" s="60">
        <v>498</v>
      </c>
    </row>
    <row r="245" spans="1:26" x14ac:dyDescent="0.6">
      <c r="A245" s="6" t="s">
        <v>648</v>
      </c>
      <c r="B245" s="10">
        <v>25</v>
      </c>
      <c r="C245" s="12" t="s">
        <v>970</v>
      </c>
      <c r="D245" s="13" t="s">
        <v>976</v>
      </c>
      <c r="E245" s="13" t="s">
        <v>980</v>
      </c>
      <c r="F245" s="10">
        <v>4</v>
      </c>
      <c r="G245" s="10"/>
      <c r="H245" s="1">
        <v>606</v>
      </c>
      <c r="I245" s="1">
        <v>489</v>
      </c>
      <c r="J245" s="1">
        <v>489</v>
      </c>
      <c r="K245" s="2">
        <v>2.5099999999999998</v>
      </c>
      <c r="L245">
        <v>489</v>
      </c>
      <c r="M245">
        <v>489</v>
      </c>
      <c r="N245">
        <v>489</v>
      </c>
      <c r="O245">
        <v>489</v>
      </c>
      <c r="P245">
        <v>489</v>
      </c>
      <c r="S245">
        <v>492</v>
      </c>
      <c r="T245">
        <v>495.8</v>
      </c>
      <c r="U245" s="17">
        <v>6.2474739799999996</v>
      </c>
      <c r="V245" s="60">
        <v>512</v>
      </c>
      <c r="W245" s="60">
        <v>510</v>
      </c>
      <c r="X245" s="60">
        <v>511</v>
      </c>
      <c r="Y245" s="60">
        <v>512</v>
      </c>
      <c r="Z245" s="60">
        <v>510</v>
      </c>
    </row>
    <row r="246" spans="1:26" x14ac:dyDescent="0.6">
      <c r="A246" s="6" t="s">
        <v>649</v>
      </c>
      <c r="B246" s="10">
        <v>25</v>
      </c>
      <c r="C246" s="12" t="s">
        <v>970</v>
      </c>
      <c r="D246" s="13" t="s">
        <v>976</v>
      </c>
      <c r="E246" s="13" t="s">
        <v>980</v>
      </c>
      <c r="F246" s="10">
        <v>5</v>
      </c>
      <c r="G246" s="10"/>
      <c r="H246" s="1">
        <v>599</v>
      </c>
      <c r="I246" s="1">
        <v>468</v>
      </c>
      <c r="J246" s="1">
        <v>468.2</v>
      </c>
      <c r="K246" s="2">
        <v>2.5099999999999998</v>
      </c>
      <c r="L246">
        <v>468</v>
      </c>
      <c r="M246">
        <v>468</v>
      </c>
      <c r="N246">
        <v>468</v>
      </c>
      <c r="O246">
        <v>468</v>
      </c>
      <c r="P246">
        <v>469</v>
      </c>
      <c r="S246">
        <v>475</v>
      </c>
      <c r="T246">
        <v>477.6</v>
      </c>
      <c r="U246" s="17">
        <v>6.1657723000000004</v>
      </c>
      <c r="V246" s="60">
        <v>489</v>
      </c>
      <c r="W246" s="60">
        <v>491</v>
      </c>
      <c r="X246" s="60">
        <v>487</v>
      </c>
      <c r="Y246" s="60">
        <v>490</v>
      </c>
      <c r="Z246" s="60">
        <v>489</v>
      </c>
    </row>
    <row r="247" spans="1:26" x14ac:dyDescent="0.6">
      <c r="A247" s="6" t="s">
        <v>650</v>
      </c>
      <c r="B247" s="10">
        <v>25</v>
      </c>
      <c r="C247" s="12" t="s">
        <v>970</v>
      </c>
      <c r="D247" s="13" t="s">
        <v>976</v>
      </c>
      <c r="E247" s="13" t="s">
        <v>980</v>
      </c>
      <c r="F247" s="10">
        <v>6</v>
      </c>
      <c r="G247" s="10"/>
      <c r="H247" s="1">
        <v>587</v>
      </c>
      <c r="I247" s="1">
        <v>504</v>
      </c>
      <c r="J247" s="1">
        <v>504</v>
      </c>
      <c r="K247" s="2">
        <v>2.5099999999999998</v>
      </c>
      <c r="L247">
        <v>504</v>
      </c>
      <c r="M247">
        <v>504</v>
      </c>
      <c r="N247">
        <v>504</v>
      </c>
      <c r="O247">
        <v>504</v>
      </c>
      <c r="P247">
        <v>504</v>
      </c>
      <c r="S247">
        <v>507</v>
      </c>
      <c r="T247">
        <v>509.4</v>
      </c>
      <c r="U247" s="17">
        <v>5.6880971200000001</v>
      </c>
      <c r="V247" s="60">
        <v>523</v>
      </c>
      <c r="W247" s="60">
        <v>521</v>
      </c>
      <c r="X247" s="60">
        <v>523</v>
      </c>
      <c r="Y247" s="60">
        <v>520</v>
      </c>
      <c r="Z247" s="60">
        <v>518</v>
      </c>
    </row>
    <row r="248" spans="1:26" x14ac:dyDescent="0.6">
      <c r="A248" s="6" t="s">
        <v>651</v>
      </c>
      <c r="B248" s="10">
        <v>25</v>
      </c>
      <c r="C248" s="12" t="s">
        <v>970</v>
      </c>
      <c r="D248" s="13" t="s">
        <v>976</v>
      </c>
      <c r="E248" s="13" t="s">
        <v>980</v>
      </c>
      <c r="F248" s="10">
        <v>7</v>
      </c>
      <c r="G248" s="10"/>
      <c r="H248" s="1">
        <v>591</v>
      </c>
      <c r="I248" s="1">
        <v>490</v>
      </c>
      <c r="J248" s="1">
        <v>490.8</v>
      </c>
      <c r="K248" s="2">
        <v>2.5099999999999998</v>
      </c>
      <c r="L248">
        <v>491</v>
      </c>
      <c r="M248">
        <v>491</v>
      </c>
      <c r="N248">
        <v>491</v>
      </c>
      <c r="O248">
        <v>490</v>
      </c>
      <c r="P248">
        <v>491</v>
      </c>
      <c r="S248">
        <v>496</v>
      </c>
      <c r="T248">
        <v>498</v>
      </c>
      <c r="U248" s="17">
        <v>6.5463108600000002</v>
      </c>
      <c r="V248" s="60">
        <v>512</v>
      </c>
      <c r="W248" s="60">
        <v>510</v>
      </c>
      <c r="X248" s="60">
        <v>511</v>
      </c>
      <c r="Y248" s="60">
        <v>511</v>
      </c>
      <c r="Z248" s="60">
        <v>512</v>
      </c>
    </row>
    <row r="249" spans="1:26" x14ac:dyDescent="0.6">
      <c r="A249" s="6" t="s">
        <v>652</v>
      </c>
      <c r="B249" s="10">
        <v>25</v>
      </c>
      <c r="C249" s="12" t="s">
        <v>970</v>
      </c>
      <c r="D249" s="13" t="s">
        <v>976</v>
      </c>
      <c r="E249" s="13" t="s">
        <v>980</v>
      </c>
      <c r="F249" s="10">
        <v>8</v>
      </c>
      <c r="G249" s="10"/>
      <c r="H249" s="1">
        <v>599</v>
      </c>
      <c r="I249" s="1">
        <v>491</v>
      </c>
      <c r="J249" s="1">
        <v>492</v>
      </c>
      <c r="K249" s="2">
        <v>2.5099999999999998</v>
      </c>
      <c r="L249">
        <v>491</v>
      </c>
      <c r="M249">
        <v>491</v>
      </c>
      <c r="N249">
        <v>493</v>
      </c>
      <c r="O249">
        <v>493</v>
      </c>
      <c r="P249">
        <v>492</v>
      </c>
      <c r="S249">
        <v>499</v>
      </c>
      <c r="T249">
        <v>500.2</v>
      </c>
      <c r="U249" s="17">
        <v>6.0120689599999997</v>
      </c>
      <c r="V249" s="60">
        <v>508</v>
      </c>
      <c r="W249" s="60">
        <v>513</v>
      </c>
      <c r="X249" s="60">
        <v>513</v>
      </c>
      <c r="Y249" s="60">
        <v>513</v>
      </c>
      <c r="Z249" s="60">
        <v>512</v>
      </c>
    </row>
    <row r="250" spans="1:26" x14ac:dyDescent="0.6">
      <c r="A250" s="6" t="s">
        <v>653</v>
      </c>
      <c r="B250" s="10">
        <v>25</v>
      </c>
      <c r="C250" s="12" t="s">
        <v>970</v>
      </c>
      <c r="D250" s="13" t="s">
        <v>976</v>
      </c>
      <c r="E250" s="13" t="s">
        <v>980</v>
      </c>
      <c r="F250" s="10">
        <v>9</v>
      </c>
      <c r="G250" s="10"/>
      <c r="H250" s="1">
        <v>574</v>
      </c>
      <c r="I250" s="1">
        <v>480</v>
      </c>
      <c r="J250" s="1">
        <v>480.8</v>
      </c>
      <c r="K250" s="2">
        <v>2.5099999999999998</v>
      </c>
      <c r="L250">
        <v>481</v>
      </c>
      <c r="M250">
        <v>481</v>
      </c>
      <c r="N250">
        <v>481</v>
      </c>
      <c r="O250">
        <v>481</v>
      </c>
      <c r="P250">
        <v>480</v>
      </c>
      <c r="S250">
        <v>487</v>
      </c>
      <c r="T250">
        <v>489.4</v>
      </c>
      <c r="U250" s="17">
        <v>6.6214489800000003</v>
      </c>
      <c r="V250" s="60">
        <v>505</v>
      </c>
      <c r="W250" s="60">
        <v>504</v>
      </c>
      <c r="X250" s="60">
        <v>505</v>
      </c>
      <c r="Y250" s="60">
        <v>506</v>
      </c>
      <c r="Z250" s="60">
        <v>504</v>
      </c>
    </row>
    <row r="251" spans="1:26" x14ac:dyDescent="0.6">
      <c r="A251" s="6" t="s">
        <v>654</v>
      </c>
      <c r="B251" s="10">
        <v>25</v>
      </c>
      <c r="C251" s="12" t="s">
        <v>970</v>
      </c>
      <c r="D251" s="13" t="s">
        <v>976</v>
      </c>
      <c r="E251" s="13" t="s">
        <v>980</v>
      </c>
      <c r="F251" s="10">
        <v>10</v>
      </c>
      <c r="G251" s="10"/>
      <c r="H251" s="1">
        <v>579</v>
      </c>
      <c r="I251" s="1">
        <v>488</v>
      </c>
      <c r="J251" s="1">
        <v>488.8</v>
      </c>
      <c r="K251" s="2">
        <v>2.5099999999999998</v>
      </c>
      <c r="L251">
        <v>489</v>
      </c>
      <c r="M251">
        <v>489</v>
      </c>
      <c r="N251">
        <v>489</v>
      </c>
      <c r="O251">
        <v>489</v>
      </c>
      <c r="P251">
        <v>488</v>
      </c>
      <c r="S251">
        <v>492</v>
      </c>
      <c r="T251">
        <v>495.6</v>
      </c>
      <c r="U251" s="17">
        <v>5.9520866000000003</v>
      </c>
      <c r="V251" s="60">
        <v>504</v>
      </c>
      <c r="W251" s="60">
        <v>509</v>
      </c>
      <c r="X251" s="60">
        <v>505</v>
      </c>
      <c r="Y251" s="60">
        <v>505</v>
      </c>
      <c r="Z251" s="60">
        <v>508</v>
      </c>
    </row>
    <row r="252" spans="1:26" x14ac:dyDescent="0.6">
      <c r="A252" s="6" t="s">
        <v>655</v>
      </c>
      <c r="B252" s="10">
        <v>25</v>
      </c>
      <c r="C252" s="12" t="s">
        <v>970</v>
      </c>
      <c r="D252" s="13" t="s">
        <v>976</v>
      </c>
      <c r="E252" s="13" t="s">
        <v>984</v>
      </c>
      <c r="F252" s="10">
        <v>1</v>
      </c>
      <c r="G252" s="10"/>
      <c r="H252" s="1">
        <v>749</v>
      </c>
      <c r="I252" s="1">
        <v>483</v>
      </c>
      <c r="J252" s="1">
        <v>483</v>
      </c>
      <c r="K252" s="2">
        <v>2.5099999999999998</v>
      </c>
      <c r="L252">
        <v>483</v>
      </c>
      <c r="M252">
        <v>483</v>
      </c>
      <c r="N252">
        <v>483</v>
      </c>
      <c r="O252">
        <v>483</v>
      </c>
      <c r="P252">
        <v>483</v>
      </c>
      <c r="S252">
        <v>487</v>
      </c>
      <c r="T252">
        <v>488.4</v>
      </c>
      <c r="U252" s="17">
        <v>5.8318982200000002</v>
      </c>
      <c r="V252" s="60">
        <v>502</v>
      </c>
      <c r="W252" s="60">
        <v>503</v>
      </c>
      <c r="X252" s="60">
        <v>502</v>
      </c>
      <c r="Y252" s="60">
        <v>503</v>
      </c>
      <c r="Z252" s="60">
        <v>501</v>
      </c>
    </row>
    <row r="253" spans="1:26" x14ac:dyDescent="0.6">
      <c r="A253" s="6" t="s">
        <v>656</v>
      </c>
      <c r="B253" s="10">
        <v>25</v>
      </c>
      <c r="C253" s="12" t="s">
        <v>970</v>
      </c>
      <c r="D253" s="13" t="s">
        <v>976</v>
      </c>
      <c r="E253" s="13" t="s">
        <v>985</v>
      </c>
      <c r="F253" s="10">
        <v>2</v>
      </c>
      <c r="G253" s="10"/>
      <c r="H253" s="1">
        <v>574</v>
      </c>
      <c r="I253" s="1">
        <v>464</v>
      </c>
      <c r="J253" s="1">
        <v>464.4</v>
      </c>
      <c r="K253" s="2">
        <v>2.5099999999999998</v>
      </c>
      <c r="L253">
        <v>464</v>
      </c>
      <c r="M253">
        <v>465</v>
      </c>
      <c r="N253">
        <v>465</v>
      </c>
      <c r="O253">
        <v>464</v>
      </c>
      <c r="P253">
        <v>464</v>
      </c>
      <c r="S253">
        <v>473</v>
      </c>
      <c r="T253">
        <v>475.6</v>
      </c>
      <c r="U253" s="17">
        <v>6.0591191999999996</v>
      </c>
      <c r="V253" s="60">
        <v>485</v>
      </c>
      <c r="W253" s="60">
        <v>488</v>
      </c>
      <c r="X253" s="60">
        <v>486</v>
      </c>
      <c r="Y253" s="60">
        <v>488</v>
      </c>
      <c r="Z253" s="60">
        <v>485</v>
      </c>
    </row>
    <row r="254" spans="1:26" x14ac:dyDescent="0.6">
      <c r="A254" s="6" t="s">
        <v>657</v>
      </c>
      <c r="B254" s="10">
        <v>25</v>
      </c>
      <c r="C254" s="12" t="s">
        <v>970</v>
      </c>
      <c r="D254" s="13" t="s">
        <v>976</v>
      </c>
      <c r="E254" s="13" t="s">
        <v>982</v>
      </c>
      <c r="F254" s="10">
        <v>3</v>
      </c>
      <c r="G254" s="10"/>
      <c r="H254" s="1">
        <v>665</v>
      </c>
      <c r="I254" s="1">
        <v>478</v>
      </c>
      <c r="J254" s="1">
        <v>478.2</v>
      </c>
      <c r="K254" s="2">
        <v>2.5099999999999998</v>
      </c>
      <c r="L254">
        <v>478</v>
      </c>
      <c r="M254">
        <v>478</v>
      </c>
      <c r="N254">
        <v>479</v>
      </c>
      <c r="O254">
        <v>478</v>
      </c>
      <c r="P254">
        <v>478</v>
      </c>
      <c r="S254">
        <v>482</v>
      </c>
      <c r="T254">
        <v>485</v>
      </c>
      <c r="U254" s="17">
        <v>6.0510627799999996</v>
      </c>
      <c r="V254" s="60">
        <v>501</v>
      </c>
      <c r="W254" s="60">
        <v>499</v>
      </c>
      <c r="X254" s="60">
        <v>494</v>
      </c>
      <c r="Y254" s="60">
        <v>492</v>
      </c>
      <c r="Z254" s="60">
        <v>500</v>
      </c>
    </row>
    <row r="255" spans="1:26" x14ac:dyDescent="0.6">
      <c r="A255" s="6" t="s">
        <v>658</v>
      </c>
      <c r="B255" s="10">
        <v>25</v>
      </c>
      <c r="C255" s="12" t="s">
        <v>970</v>
      </c>
      <c r="D255" s="13" t="s">
        <v>976</v>
      </c>
      <c r="E255" s="13" t="s">
        <v>982</v>
      </c>
      <c r="F255" s="10">
        <v>4</v>
      </c>
      <c r="G255" s="10"/>
      <c r="H255" s="1">
        <v>686</v>
      </c>
      <c r="I255" s="1">
        <v>489</v>
      </c>
      <c r="J255" s="1">
        <v>489.8</v>
      </c>
      <c r="K255" s="2">
        <v>2.5099999999999998</v>
      </c>
      <c r="L255">
        <v>490</v>
      </c>
      <c r="M255">
        <v>490</v>
      </c>
      <c r="N255">
        <v>489</v>
      </c>
      <c r="O255">
        <v>490</v>
      </c>
      <c r="P255">
        <v>490</v>
      </c>
      <c r="S255">
        <v>495</v>
      </c>
      <c r="T255">
        <v>499</v>
      </c>
      <c r="U255" s="17">
        <v>6.4368373800000001</v>
      </c>
      <c r="V255" s="60">
        <v>512</v>
      </c>
      <c r="W255" s="60">
        <v>513</v>
      </c>
      <c r="X255" s="60">
        <v>513</v>
      </c>
      <c r="Y255" s="60">
        <v>510</v>
      </c>
      <c r="Z255" s="60">
        <v>508</v>
      </c>
    </row>
    <row r="256" spans="1:26" x14ac:dyDescent="0.6">
      <c r="A256" s="15" t="s">
        <v>659</v>
      </c>
      <c r="B256" s="10">
        <v>25</v>
      </c>
      <c r="C256" s="12" t="s">
        <v>970</v>
      </c>
      <c r="D256" s="13" t="s">
        <v>976</v>
      </c>
      <c r="E256" s="13" t="s">
        <v>982</v>
      </c>
      <c r="F256" s="10">
        <v>5</v>
      </c>
      <c r="G256" s="10"/>
      <c r="H256" s="1">
        <v>679</v>
      </c>
      <c r="I256" s="1">
        <v>468</v>
      </c>
      <c r="J256" s="1">
        <v>468.6</v>
      </c>
      <c r="K256" s="2">
        <v>2.5099999999999998</v>
      </c>
      <c r="L256">
        <v>469</v>
      </c>
      <c r="M256">
        <v>468</v>
      </c>
      <c r="N256">
        <v>469</v>
      </c>
      <c r="O256">
        <v>468</v>
      </c>
      <c r="P256">
        <v>469</v>
      </c>
      <c r="S256">
        <v>471</v>
      </c>
      <c r="T256">
        <v>475.8</v>
      </c>
      <c r="U256" s="17">
        <v>6.1222259799999996</v>
      </c>
      <c r="V256" s="60">
        <v>493</v>
      </c>
      <c r="W256" s="60">
        <v>490</v>
      </c>
      <c r="X256" s="60">
        <v>494</v>
      </c>
      <c r="Y256" s="60">
        <v>490</v>
      </c>
      <c r="Z256" s="60">
        <v>492</v>
      </c>
    </row>
    <row r="257" spans="1:26" x14ac:dyDescent="0.6">
      <c r="A257" s="6" t="s">
        <v>660</v>
      </c>
      <c r="B257" s="10">
        <v>25</v>
      </c>
      <c r="C257" s="12" t="s">
        <v>970</v>
      </c>
      <c r="D257" s="13" t="s">
        <v>976</v>
      </c>
      <c r="E257" s="13" t="s">
        <v>982</v>
      </c>
      <c r="F257" s="10">
        <v>6</v>
      </c>
      <c r="G257" s="10"/>
      <c r="H257" s="1">
        <v>660</v>
      </c>
      <c r="I257" s="1">
        <v>503</v>
      </c>
      <c r="J257" s="1">
        <v>503.8</v>
      </c>
      <c r="K257" s="2">
        <v>2.5</v>
      </c>
      <c r="L257">
        <v>504</v>
      </c>
      <c r="M257">
        <v>504</v>
      </c>
      <c r="N257">
        <v>504</v>
      </c>
      <c r="O257">
        <v>504</v>
      </c>
      <c r="P257">
        <v>503</v>
      </c>
      <c r="S257">
        <v>507</v>
      </c>
      <c r="T257">
        <v>508.8</v>
      </c>
      <c r="U257" s="17">
        <v>5.9061299199999997</v>
      </c>
      <c r="V257" s="60">
        <v>524</v>
      </c>
      <c r="W257" s="60">
        <v>523</v>
      </c>
      <c r="X257" s="60">
        <v>521</v>
      </c>
      <c r="Y257" s="60">
        <v>523</v>
      </c>
      <c r="Z257" s="60">
        <v>524</v>
      </c>
    </row>
    <row r="258" spans="1:26" x14ac:dyDescent="0.6">
      <c r="A258" s="6" t="s">
        <v>661</v>
      </c>
      <c r="B258" s="10">
        <v>25</v>
      </c>
      <c r="C258" s="12" t="s">
        <v>970</v>
      </c>
      <c r="D258" s="13" t="s">
        <v>976</v>
      </c>
      <c r="E258" s="13" t="s">
        <v>982</v>
      </c>
      <c r="F258" s="10">
        <v>7</v>
      </c>
      <c r="G258" s="10"/>
      <c r="H258" s="1">
        <v>671</v>
      </c>
      <c r="I258" s="1">
        <v>491</v>
      </c>
      <c r="J258" s="1">
        <v>491</v>
      </c>
      <c r="K258" s="2">
        <v>2.5</v>
      </c>
      <c r="L258">
        <v>491</v>
      </c>
      <c r="M258">
        <v>491</v>
      </c>
      <c r="N258">
        <v>491</v>
      </c>
      <c r="O258">
        <v>491</v>
      </c>
      <c r="P258">
        <v>491</v>
      </c>
      <c r="S258">
        <v>494</v>
      </c>
      <c r="T258">
        <v>495.4</v>
      </c>
      <c r="U258" s="17">
        <v>6.5800007599999999</v>
      </c>
      <c r="V258" s="60">
        <v>510</v>
      </c>
      <c r="W258" s="60">
        <v>515</v>
      </c>
      <c r="X258" s="60">
        <v>517</v>
      </c>
      <c r="Y258" s="60">
        <v>514</v>
      </c>
      <c r="Z258" s="60">
        <v>518</v>
      </c>
    </row>
    <row r="259" spans="1:26" x14ac:dyDescent="0.6">
      <c r="A259" s="6" t="s">
        <v>662</v>
      </c>
      <c r="B259" s="10">
        <v>25</v>
      </c>
      <c r="C259" s="12" t="s">
        <v>970</v>
      </c>
      <c r="D259" s="13" t="s">
        <v>976</v>
      </c>
      <c r="E259" s="13" t="s">
        <v>982</v>
      </c>
      <c r="F259" s="10">
        <v>8</v>
      </c>
      <c r="G259" s="10"/>
      <c r="H259" s="1">
        <v>679</v>
      </c>
      <c r="I259" s="1">
        <v>491</v>
      </c>
      <c r="J259" s="1">
        <v>491.4</v>
      </c>
      <c r="K259" s="2">
        <v>2.5099999999999998</v>
      </c>
      <c r="L259">
        <v>491</v>
      </c>
      <c r="M259">
        <v>491</v>
      </c>
      <c r="N259">
        <v>492</v>
      </c>
      <c r="O259">
        <v>491</v>
      </c>
      <c r="P259">
        <v>492</v>
      </c>
      <c r="S259">
        <v>495</v>
      </c>
      <c r="T259">
        <v>498.4</v>
      </c>
      <c r="U259" s="17">
        <v>6.2414240799999998</v>
      </c>
      <c r="V259" s="60">
        <v>513</v>
      </c>
      <c r="W259" s="60">
        <v>512</v>
      </c>
      <c r="X259" s="60">
        <v>517</v>
      </c>
      <c r="Y259" s="60">
        <v>513</v>
      </c>
      <c r="Z259" s="60">
        <v>514</v>
      </c>
    </row>
    <row r="260" spans="1:26" x14ac:dyDescent="0.6">
      <c r="A260" s="6" t="s">
        <v>663</v>
      </c>
      <c r="B260" s="10">
        <v>25</v>
      </c>
      <c r="C260" s="12" t="s">
        <v>970</v>
      </c>
      <c r="D260" s="13" t="s">
        <v>976</v>
      </c>
      <c r="E260" s="13" t="s">
        <v>982</v>
      </c>
      <c r="F260" s="10">
        <v>9</v>
      </c>
      <c r="G260" s="10"/>
      <c r="H260" s="1">
        <v>654</v>
      </c>
      <c r="I260" s="1">
        <v>480</v>
      </c>
      <c r="J260" s="1">
        <v>481.4</v>
      </c>
      <c r="K260" s="2">
        <v>2.5</v>
      </c>
      <c r="L260">
        <v>481</v>
      </c>
      <c r="M260">
        <v>482</v>
      </c>
      <c r="N260">
        <v>482</v>
      </c>
      <c r="O260">
        <v>482</v>
      </c>
      <c r="P260">
        <v>480</v>
      </c>
      <c r="S260">
        <v>486</v>
      </c>
      <c r="T260">
        <v>488.8</v>
      </c>
      <c r="U260" s="17">
        <v>6.73816448</v>
      </c>
      <c r="V260" s="60">
        <v>506</v>
      </c>
      <c r="W260" s="60">
        <v>506</v>
      </c>
      <c r="X260" s="60">
        <v>506</v>
      </c>
      <c r="Y260" s="60">
        <v>506</v>
      </c>
      <c r="Z260" s="60">
        <v>507</v>
      </c>
    </row>
    <row r="261" spans="1:26" x14ac:dyDescent="0.6">
      <c r="A261" s="6" t="s">
        <v>664</v>
      </c>
      <c r="B261" s="10">
        <v>25</v>
      </c>
      <c r="C261" s="12" t="s">
        <v>970</v>
      </c>
      <c r="D261" s="13" t="s">
        <v>976</v>
      </c>
      <c r="E261" s="13" t="s">
        <v>982</v>
      </c>
      <c r="F261" s="10">
        <v>10</v>
      </c>
      <c r="G261" s="10"/>
      <c r="H261" s="1">
        <v>659</v>
      </c>
      <c r="I261" s="1">
        <v>489</v>
      </c>
      <c r="J261" s="1">
        <v>489.2</v>
      </c>
      <c r="K261" s="2">
        <v>2.5</v>
      </c>
      <c r="L261">
        <v>490</v>
      </c>
      <c r="M261">
        <v>489</v>
      </c>
      <c r="N261">
        <v>489</v>
      </c>
      <c r="O261">
        <v>489</v>
      </c>
      <c r="P261">
        <v>489</v>
      </c>
      <c r="S261">
        <v>493</v>
      </c>
      <c r="T261">
        <v>495.2</v>
      </c>
      <c r="U261" s="17">
        <v>5.8787349799999999</v>
      </c>
      <c r="V261" s="60">
        <v>509</v>
      </c>
      <c r="W261" s="60">
        <v>508</v>
      </c>
      <c r="X261" s="60">
        <v>508</v>
      </c>
      <c r="Y261" s="60">
        <v>511</v>
      </c>
      <c r="Z261" s="60">
        <v>510</v>
      </c>
    </row>
    <row r="262" spans="1:26" x14ac:dyDescent="0.6">
      <c r="A262" s="6" t="s">
        <v>665</v>
      </c>
      <c r="B262" s="10">
        <v>25</v>
      </c>
      <c r="C262" s="12" t="s">
        <v>970</v>
      </c>
      <c r="D262" s="13" t="s">
        <v>979</v>
      </c>
      <c r="E262" s="13" t="s">
        <v>981</v>
      </c>
      <c r="F262" s="10">
        <v>1</v>
      </c>
      <c r="G262" s="10"/>
      <c r="H262" s="1">
        <v>720</v>
      </c>
      <c r="I262" s="1">
        <v>602</v>
      </c>
      <c r="J262" s="1">
        <v>602.79999999999995</v>
      </c>
      <c r="K262" s="2">
        <v>2.5099999999999998</v>
      </c>
      <c r="L262">
        <v>602</v>
      </c>
      <c r="M262">
        <v>603</v>
      </c>
      <c r="N262">
        <v>603</v>
      </c>
      <c r="O262">
        <v>603</v>
      </c>
      <c r="P262">
        <v>603</v>
      </c>
      <c r="S262">
        <v>608</v>
      </c>
      <c r="T262">
        <v>608.79999999999995</v>
      </c>
      <c r="U262" s="17">
        <v>5.67836652</v>
      </c>
      <c r="V262" s="60">
        <v>620</v>
      </c>
      <c r="W262" s="60">
        <v>623</v>
      </c>
      <c r="X262" s="60">
        <v>622</v>
      </c>
      <c r="Y262" s="60">
        <v>621</v>
      </c>
      <c r="Z262" s="60">
        <v>620</v>
      </c>
    </row>
    <row r="263" spans="1:26" x14ac:dyDescent="0.6">
      <c r="A263" s="6" t="s">
        <v>666</v>
      </c>
      <c r="B263" s="10">
        <v>25</v>
      </c>
      <c r="C263" s="12" t="s">
        <v>970</v>
      </c>
      <c r="D263" s="13" t="s">
        <v>979</v>
      </c>
      <c r="E263" s="13" t="s">
        <v>983</v>
      </c>
      <c r="F263" s="10">
        <v>2</v>
      </c>
      <c r="G263" s="10"/>
      <c r="H263" s="1">
        <v>631</v>
      </c>
      <c r="I263" s="1">
        <v>584</v>
      </c>
      <c r="J263" s="1">
        <v>584.79999999999995</v>
      </c>
      <c r="K263" s="2">
        <v>2.5099999999999998</v>
      </c>
      <c r="L263">
        <v>584</v>
      </c>
      <c r="M263">
        <v>585</v>
      </c>
      <c r="N263">
        <v>585</v>
      </c>
      <c r="O263">
        <v>585</v>
      </c>
      <c r="P263">
        <v>585</v>
      </c>
      <c r="S263">
        <v>590</v>
      </c>
      <c r="T263">
        <v>592.4</v>
      </c>
      <c r="U263" s="17">
        <v>5.8744681600000002</v>
      </c>
      <c r="V263" s="60">
        <v>605</v>
      </c>
      <c r="W263" s="60">
        <v>606</v>
      </c>
      <c r="X263" s="60">
        <v>604</v>
      </c>
      <c r="Y263" s="60">
        <v>605</v>
      </c>
      <c r="Z263" s="60">
        <v>606</v>
      </c>
    </row>
    <row r="264" spans="1:26" x14ac:dyDescent="0.6">
      <c r="A264" s="6" t="s">
        <v>667</v>
      </c>
      <c r="B264" s="10">
        <v>25</v>
      </c>
      <c r="C264" s="12" t="s">
        <v>970</v>
      </c>
      <c r="D264" s="13" t="s">
        <v>978</v>
      </c>
      <c r="E264" s="13" t="s">
        <v>980</v>
      </c>
      <c r="F264" s="10">
        <v>3</v>
      </c>
      <c r="G264" s="10"/>
      <c r="H264" s="1">
        <v>683</v>
      </c>
      <c r="I264" s="1">
        <v>598</v>
      </c>
      <c r="J264" s="1">
        <v>598.20000000000005</v>
      </c>
      <c r="K264" s="2">
        <v>2.5099999999999998</v>
      </c>
      <c r="L264">
        <v>598</v>
      </c>
      <c r="M264">
        <v>598</v>
      </c>
      <c r="N264">
        <v>598</v>
      </c>
      <c r="O264">
        <v>598</v>
      </c>
      <c r="P264">
        <v>599</v>
      </c>
      <c r="S264">
        <v>602</v>
      </c>
      <c r="T264">
        <v>604.20000000000005</v>
      </c>
      <c r="U264" s="17">
        <v>5.8415357200000004</v>
      </c>
      <c r="V264" s="60">
        <v>614</v>
      </c>
      <c r="W264" s="60">
        <v>617</v>
      </c>
      <c r="X264" s="60">
        <v>618</v>
      </c>
      <c r="Y264" s="60">
        <v>612</v>
      </c>
      <c r="Z264" s="60">
        <v>615</v>
      </c>
    </row>
    <row r="265" spans="1:26" x14ac:dyDescent="0.6">
      <c r="A265" s="6" t="s">
        <v>668</v>
      </c>
      <c r="B265" s="10">
        <v>25</v>
      </c>
      <c r="C265" s="12" t="s">
        <v>970</v>
      </c>
      <c r="D265" s="13" t="s">
        <v>978</v>
      </c>
      <c r="E265" s="13" t="s">
        <v>980</v>
      </c>
      <c r="F265" s="10">
        <v>4</v>
      </c>
      <c r="G265" s="10"/>
      <c r="H265" s="1">
        <v>706</v>
      </c>
      <c r="I265" s="1">
        <v>609</v>
      </c>
      <c r="J265" s="1">
        <v>609</v>
      </c>
      <c r="K265" s="2">
        <v>2.5099999999999998</v>
      </c>
      <c r="L265">
        <v>609</v>
      </c>
      <c r="M265">
        <v>609</v>
      </c>
      <c r="N265">
        <v>609</v>
      </c>
      <c r="O265">
        <v>609</v>
      </c>
      <c r="P265">
        <v>609</v>
      </c>
      <c r="S265">
        <v>614</v>
      </c>
      <c r="T265">
        <v>616</v>
      </c>
      <c r="U265" s="17">
        <v>6.0179100800000001</v>
      </c>
      <c r="V265" s="60">
        <v>632</v>
      </c>
      <c r="W265" s="60">
        <v>630</v>
      </c>
      <c r="X265" s="60">
        <v>631</v>
      </c>
      <c r="Y265" s="60">
        <v>628</v>
      </c>
      <c r="Z265" s="60">
        <v>629</v>
      </c>
    </row>
    <row r="266" spans="1:26" x14ac:dyDescent="0.6">
      <c r="A266" s="6" t="s">
        <v>669</v>
      </c>
      <c r="B266" s="10">
        <v>25</v>
      </c>
      <c r="C266" s="12" t="s">
        <v>970</v>
      </c>
      <c r="D266" s="13" t="s">
        <v>978</v>
      </c>
      <c r="E266" s="13" t="s">
        <v>980</v>
      </c>
      <c r="F266" s="10">
        <v>5</v>
      </c>
      <c r="G266" s="10"/>
      <c r="H266" s="1">
        <v>699</v>
      </c>
      <c r="I266" s="1">
        <v>588</v>
      </c>
      <c r="J266" s="1">
        <v>588.20000000000005</v>
      </c>
      <c r="K266" s="2">
        <v>2.5099999999999998</v>
      </c>
      <c r="L266">
        <v>588</v>
      </c>
      <c r="M266">
        <v>589</v>
      </c>
      <c r="N266">
        <v>588</v>
      </c>
      <c r="O266">
        <v>588</v>
      </c>
      <c r="P266">
        <v>588</v>
      </c>
      <c r="S266">
        <v>591</v>
      </c>
      <c r="T266">
        <v>597.20000000000005</v>
      </c>
      <c r="U266" s="17">
        <v>5.9284482399999998</v>
      </c>
      <c r="V266" s="60">
        <v>609</v>
      </c>
      <c r="W266" s="60">
        <v>609</v>
      </c>
      <c r="X266" s="60">
        <v>612</v>
      </c>
      <c r="Y266" s="60">
        <v>612</v>
      </c>
      <c r="Z266" s="60">
        <v>608</v>
      </c>
    </row>
    <row r="267" spans="1:26" x14ac:dyDescent="0.6">
      <c r="A267" s="6" t="s">
        <v>670</v>
      </c>
      <c r="B267" s="10">
        <v>25</v>
      </c>
      <c r="C267" s="12" t="s">
        <v>970</v>
      </c>
      <c r="D267" s="13" t="s">
        <v>978</v>
      </c>
      <c r="E267" s="13" t="s">
        <v>980</v>
      </c>
      <c r="F267" s="10">
        <v>6</v>
      </c>
      <c r="G267" s="10"/>
      <c r="H267" s="1">
        <v>692</v>
      </c>
      <c r="I267" s="1">
        <v>623</v>
      </c>
      <c r="J267" s="1">
        <v>623.6</v>
      </c>
      <c r="K267" s="2">
        <v>2.5099999999999998</v>
      </c>
      <c r="L267">
        <v>624</v>
      </c>
      <c r="M267">
        <v>624</v>
      </c>
      <c r="N267">
        <v>623</v>
      </c>
      <c r="O267">
        <v>624</v>
      </c>
      <c r="P267">
        <v>623</v>
      </c>
      <c r="S267">
        <v>627</v>
      </c>
      <c r="T267">
        <v>629.6</v>
      </c>
      <c r="U267" s="17">
        <v>5.9604304600000004</v>
      </c>
      <c r="V267" s="60">
        <v>643</v>
      </c>
      <c r="W267" s="60">
        <v>642</v>
      </c>
      <c r="X267" s="60">
        <v>640</v>
      </c>
      <c r="Y267" s="60">
        <v>642</v>
      </c>
      <c r="Z267" s="60">
        <v>641</v>
      </c>
    </row>
    <row r="268" spans="1:26" x14ac:dyDescent="0.6">
      <c r="A268" s="6" t="s">
        <v>671</v>
      </c>
      <c r="B268" s="10">
        <v>25</v>
      </c>
      <c r="C268" s="12" t="s">
        <v>970</v>
      </c>
      <c r="D268" s="13" t="s">
        <v>978</v>
      </c>
      <c r="E268" s="13" t="s">
        <v>980</v>
      </c>
      <c r="F268" s="10">
        <v>7</v>
      </c>
      <c r="G268" s="10"/>
      <c r="H268" s="1">
        <v>691</v>
      </c>
      <c r="I268" s="1">
        <v>610</v>
      </c>
      <c r="J268" s="1">
        <v>610.6</v>
      </c>
      <c r="K268" s="2">
        <v>2.5</v>
      </c>
      <c r="L268">
        <v>611</v>
      </c>
      <c r="M268">
        <v>610</v>
      </c>
      <c r="N268">
        <v>611</v>
      </c>
      <c r="O268">
        <v>611</v>
      </c>
      <c r="P268">
        <v>610</v>
      </c>
      <c r="S268">
        <v>615</v>
      </c>
      <c r="T268">
        <v>618.79999999999995</v>
      </c>
      <c r="U268" s="17">
        <v>6.54095168</v>
      </c>
      <c r="V268" s="60">
        <v>629</v>
      </c>
      <c r="W268" s="60">
        <v>631</v>
      </c>
      <c r="X268" s="60">
        <v>631</v>
      </c>
      <c r="Y268" s="60">
        <v>631</v>
      </c>
      <c r="Z268" s="60">
        <v>633</v>
      </c>
    </row>
    <row r="269" spans="1:26" x14ac:dyDescent="0.6">
      <c r="A269" s="6" t="s">
        <v>672</v>
      </c>
      <c r="B269" s="10">
        <v>25</v>
      </c>
      <c r="C269" s="12" t="s">
        <v>970</v>
      </c>
      <c r="D269" s="13" t="s">
        <v>978</v>
      </c>
      <c r="E269" s="13" t="s">
        <v>980</v>
      </c>
      <c r="F269" s="10">
        <v>8</v>
      </c>
      <c r="G269" s="10"/>
      <c r="H269" s="1">
        <v>699</v>
      </c>
      <c r="I269" s="1">
        <v>611</v>
      </c>
      <c r="J269" s="1">
        <v>611.6</v>
      </c>
      <c r="K269" s="2">
        <v>2.5</v>
      </c>
      <c r="L269">
        <v>612</v>
      </c>
      <c r="M269">
        <v>611</v>
      </c>
      <c r="N269">
        <v>612</v>
      </c>
      <c r="O269">
        <v>612</v>
      </c>
      <c r="P269">
        <v>611</v>
      </c>
      <c r="S269">
        <v>617</v>
      </c>
      <c r="T269">
        <v>618.4</v>
      </c>
      <c r="U269" s="17">
        <v>6.0475600399999996</v>
      </c>
      <c r="V269" s="60">
        <v>632</v>
      </c>
      <c r="W269" s="60">
        <v>629</v>
      </c>
      <c r="X269" s="60">
        <v>630</v>
      </c>
      <c r="Y269" s="60">
        <v>629</v>
      </c>
      <c r="Z269" s="60">
        <v>634</v>
      </c>
    </row>
    <row r="270" spans="1:26" x14ac:dyDescent="0.6">
      <c r="A270" s="6" t="s">
        <v>673</v>
      </c>
      <c r="B270" s="10">
        <v>25</v>
      </c>
      <c r="C270" s="12" t="s">
        <v>970</v>
      </c>
      <c r="D270" s="13" t="s">
        <v>978</v>
      </c>
      <c r="E270" s="13" t="s">
        <v>980</v>
      </c>
      <c r="F270" s="10">
        <v>9</v>
      </c>
      <c r="G270" s="10"/>
      <c r="H270" s="1">
        <v>669</v>
      </c>
      <c r="I270" s="1">
        <v>601</v>
      </c>
      <c r="J270" s="1">
        <v>601</v>
      </c>
      <c r="K270" s="2">
        <v>2.5</v>
      </c>
      <c r="L270">
        <v>601</v>
      </c>
      <c r="M270">
        <v>601</v>
      </c>
      <c r="N270">
        <v>601</v>
      </c>
      <c r="O270">
        <v>601</v>
      </c>
      <c r="P270">
        <v>601</v>
      </c>
      <c r="S270">
        <v>604</v>
      </c>
      <c r="T270">
        <v>606.6</v>
      </c>
      <c r="U270" s="17">
        <v>6.5139592000000004</v>
      </c>
      <c r="V270" s="60">
        <v>622</v>
      </c>
      <c r="W270" s="60">
        <v>620</v>
      </c>
      <c r="X270" s="60">
        <v>622</v>
      </c>
      <c r="Y270" s="60">
        <v>624</v>
      </c>
      <c r="Z270" s="60">
        <v>619</v>
      </c>
    </row>
    <row r="271" spans="1:26" x14ac:dyDescent="0.6">
      <c r="A271" s="15" t="s">
        <v>674</v>
      </c>
      <c r="B271" s="10">
        <v>25</v>
      </c>
      <c r="C271" s="12" t="s">
        <v>970</v>
      </c>
      <c r="D271" s="13" t="s">
        <v>978</v>
      </c>
      <c r="E271" s="13" t="s">
        <v>980</v>
      </c>
      <c r="F271" s="10">
        <v>10</v>
      </c>
      <c r="G271" s="11"/>
      <c r="H271" s="1">
        <v>684</v>
      </c>
      <c r="I271" s="1">
        <v>609</v>
      </c>
      <c r="J271" s="1">
        <v>609</v>
      </c>
      <c r="K271" s="2">
        <v>2.5099999999999998</v>
      </c>
      <c r="L271">
        <v>609</v>
      </c>
      <c r="M271">
        <v>609</v>
      </c>
      <c r="N271">
        <v>609</v>
      </c>
      <c r="O271">
        <v>609</v>
      </c>
      <c r="P271">
        <v>609</v>
      </c>
      <c r="S271">
        <v>611</v>
      </c>
      <c r="T271">
        <v>615.4</v>
      </c>
      <c r="U271" s="17">
        <v>5.8680327200000004</v>
      </c>
      <c r="V271" s="60">
        <v>627</v>
      </c>
      <c r="W271" s="60">
        <v>627</v>
      </c>
      <c r="X271" s="60">
        <v>628</v>
      </c>
      <c r="Y271" s="60">
        <v>629</v>
      </c>
      <c r="Z271" s="60">
        <v>626</v>
      </c>
    </row>
    <row r="272" spans="1:26" x14ac:dyDescent="0.6">
      <c r="A272" s="6" t="s">
        <v>675</v>
      </c>
      <c r="B272" s="10">
        <v>25</v>
      </c>
      <c r="C272" s="12" t="s">
        <v>970</v>
      </c>
      <c r="D272" s="13" t="s">
        <v>978</v>
      </c>
      <c r="E272" s="13" t="s">
        <v>984</v>
      </c>
      <c r="F272" s="10">
        <v>1</v>
      </c>
      <c r="G272" s="10"/>
      <c r="H272" s="1">
        <v>834</v>
      </c>
      <c r="I272" s="1">
        <v>602</v>
      </c>
      <c r="J272" s="1">
        <v>602.4</v>
      </c>
      <c r="K272" s="2">
        <v>2.5099999999999998</v>
      </c>
      <c r="L272">
        <v>602</v>
      </c>
      <c r="M272">
        <v>602</v>
      </c>
      <c r="N272">
        <v>603</v>
      </c>
      <c r="O272">
        <v>602</v>
      </c>
      <c r="P272">
        <v>603</v>
      </c>
      <c r="S272">
        <v>606</v>
      </c>
      <c r="T272">
        <v>608.79999999999995</v>
      </c>
      <c r="U272" s="17">
        <v>5.6274220000000001</v>
      </c>
      <c r="V272" s="60">
        <v>624</v>
      </c>
      <c r="W272" s="60">
        <v>617</v>
      </c>
      <c r="X272" s="60">
        <v>618</v>
      </c>
      <c r="Y272" s="60">
        <v>618</v>
      </c>
      <c r="Z272" s="60">
        <v>623</v>
      </c>
    </row>
    <row r="273" spans="1:26" x14ac:dyDescent="0.6">
      <c r="A273" s="6" t="s">
        <v>676</v>
      </c>
      <c r="B273" s="10">
        <v>25</v>
      </c>
      <c r="C273" s="12" t="s">
        <v>970</v>
      </c>
      <c r="D273" s="13" t="s">
        <v>978</v>
      </c>
      <c r="E273" s="13" t="s">
        <v>985</v>
      </c>
      <c r="F273" s="10">
        <v>2</v>
      </c>
      <c r="G273" s="10"/>
      <c r="H273" s="1">
        <v>669</v>
      </c>
      <c r="I273" s="1">
        <v>585</v>
      </c>
      <c r="J273" s="1">
        <v>585</v>
      </c>
      <c r="K273" s="2">
        <v>2.5099999999999998</v>
      </c>
      <c r="L273">
        <v>585</v>
      </c>
      <c r="M273">
        <v>585</v>
      </c>
      <c r="N273">
        <v>585</v>
      </c>
      <c r="O273">
        <v>585</v>
      </c>
      <c r="P273">
        <v>585</v>
      </c>
      <c r="S273">
        <v>591</v>
      </c>
      <c r="T273">
        <v>593.79999999999995</v>
      </c>
      <c r="U273" s="17">
        <v>5.9938550199999998</v>
      </c>
      <c r="V273" s="60">
        <v>608</v>
      </c>
      <c r="W273" s="60">
        <v>603</v>
      </c>
      <c r="X273" s="60">
        <v>607</v>
      </c>
      <c r="Y273" s="60">
        <v>607</v>
      </c>
      <c r="Z273" s="60">
        <v>605</v>
      </c>
    </row>
    <row r="274" spans="1:26" x14ac:dyDescent="0.6">
      <c r="A274" s="6" t="s">
        <v>677</v>
      </c>
      <c r="B274" s="10">
        <v>25</v>
      </c>
      <c r="C274" s="12" t="s">
        <v>970</v>
      </c>
      <c r="D274" s="13" t="s">
        <v>978</v>
      </c>
      <c r="E274" s="13" t="s">
        <v>982</v>
      </c>
      <c r="F274" s="10">
        <v>3</v>
      </c>
      <c r="G274" s="10"/>
      <c r="H274" s="1">
        <v>760</v>
      </c>
      <c r="I274" s="1">
        <v>598</v>
      </c>
      <c r="J274" s="1">
        <v>598.20000000000005</v>
      </c>
      <c r="K274" s="2">
        <v>2.5099999999999998</v>
      </c>
      <c r="L274">
        <v>598</v>
      </c>
      <c r="M274">
        <v>598</v>
      </c>
      <c r="N274">
        <v>598</v>
      </c>
      <c r="O274">
        <v>599</v>
      </c>
      <c r="P274">
        <v>598</v>
      </c>
      <c r="S274">
        <v>601</v>
      </c>
      <c r="T274">
        <v>604.79999999999995</v>
      </c>
      <c r="U274" s="17">
        <v>6.17653652</v>
      </c>
      <c r="V274" s="60">
        <v>616</v>
      </c>
      <c r="W274" s="60">
        <v>619</v>
      </c>
      <c r="X274" s="60">
        <v>616</v>
      </c>
      <c r="Y274" s="60">
        <v>619</v>
      </c>
      <c r="Z274" s="60">
        <v>619</v>
      </c>
    </row>
    <row r="275" spans="1:26" x14ac:dyDescent="0.6">
      <c r="A275" s="6" t="s">
        <v>678</v>
      </c>
      <c r="B275" s="10">
        <v>25</v>
      </c>
      <c r="C275" s="12" t="s">
        <v>970</v>
      </c>
      <c r="D275" s="13" t="s">
        <v>978</v>
      </c>
      <c r="E275" s="13" t="s">
        <v>982</v>
      </c>
      <c r="F275" s="10">
        <v>4</v>
      </c>
      <c r="G275" s="10"/>
      <c r="H275" s="1">
        <v>786</v>
      </c>
      <c r="I275" s="1">
        <v>609</v>
      </c>
      <c r="J275" s="1">
        <v>609</v>
      </c>
      <c r="K275" s="2">
        <v>2.5099999999999998</v>
      </c>
      <c r="L275">
        <v>609</v>
      </c>
      <c r="M275">
        <v>609</v>
      </c>
      <c r="N275">
        <v>609</v>
      </c>
      <c r="O275">
        <v>609</v>
      </c>
      <c r="P275">
        <v>609</v>
      </c>
      <c r="S275">
        <v>611</v>
      </c>
      <c r="T275">
        <v>614.4</v>
      </c>
      <c r="U275" s="17">
        <v>6.0417573600000001</v>
      </c>
      <c r="V275" s="60">
        <v>631</v>
      </c>
      <c r="W275" s="60">
        <v>626</v>
      </c>
      <c r="X275" s="60">
        <v>632</v>
      </c>
      <c r="Y275" s="60">
        <v>631</v>
      </c>
      <c r="Z275" s="60">
        <v>627</v>
      </c>
    </row>
    <row r="276" spans="1:26" x14ac:dyDescent="0.6">
      <c r="A276" s="6" t="s">
        <v>679</v>
      </c>
      <c r="B276" s="10">
        <v>25</v>
      </c>
      <c r="C276" s="12" t="s">
        <v>970</v>
      </c>
      <c r="D276" s="13" t="s">
        <v>978</v>
      </c>
      <c r="E276" s="13" t="s">
        <v>982</v>
      </c>
      <c r="F276" s="10">
        <v>5</v>
      </c>
      <c r="G276" s="10"/>
      <c r="H276" s="1">
        <v>779</v>
      </c>
      <c r="I276" s="1">
        <v>588</v>
      </c>
      <c r="J276" s="1">
        <v>588.4</v>
      </c>
      <c r="K276" s="2">
        <v>2.5099999999999998</v>
      </c>
      <c r="L276">
        <v>588</v>
      </c>
      <c r="M276">
        <v>588</v>
      </c>
      <c r="N276">
        <v>589</v>
      </c>
      <c r="O276">
        <v>588</v>
      </c>
      <c r="P276">
        <v>589</v>
      </c>
      <c r="S276">
        <v>592</v>
      </c>
      <c r="T276">
        <v>596.4</v>
      </c>
      <c r="U276" s="17">
        <v>6.06341062</v>
      </c>
      <c r="V276" s="60">
        <v>612</v>
      </c>
      <c r="W276" s="60">
        <v>610</v>
      </c>
      <c r="X276" s="60">
        <v>608</v>
      </c>
      <c r="Y276" s="60">
        <v>610</v>
      </c>
      <c r="Z276" s="60">
        <v>609</v>
      </c>
    </row>
    <row r="277" spans="1:26" x14ac:dyDescent="0.6">
      <c r="A277" s="6" t="s">
        <v>680</v>
      </c>
      <c r="B277" s="10">
        <v>25</v>
      </c>
      <c r="C277" s="12" t="s">
        <v>970</v>
      </c>
      <c r="D277" s="13" t="s">
        <v>978</v>
      </c>
      <c r="E277" s="13" t="s">
        <v>982</v>
      </c>
      <c r="F277" s="10">
        <v>6</v>
      </c>
      <c r="G277" s="10"/>
      <c r="H277" s="1">
        <v>755</v>
      </c>
      <c r="I277" s="1">
        <v>624</v>
      </c>
      <c r="J277" s="1">
        <v>624</v>
      </c>
      <c r="K277" s="2">
        <v>2.5099999999999998</v>
      </c>
      <c r="L277">
        <v>624</v>
      </c>
      <c r="M277">
        <v>624</v>
      </c>
      <c r="N277">
        <v>624</v>
      </c>
      <c r="O277">
        <v>624</v>
      </c>
      <c r="P277">
        <v>624</v>
      </c>
      <c r="S277">
        <v>627</v>
      </c>
      <c r="T277">
        <v>629.20000000000005</v>
      </c>
      <c r="U277" s="17">
        <v>6.3032895199999999</v>
      </c>
      <c r="V277" s="60">
        <v>644</v>
      </c>
      <c r="W277" s="60">
        <v>644</v>
      </c>
      <c r="X277" s="60">
        <v>644</v>
      </c>
      <c r="Y277" s="60">
        <v>642</v>
      </c>
      <c r="Z277" s="60">
        <v>644</v>
      </c>
    </row>
    <row r="278" spans="1:26" x14ac:dyDescent="0.6">
      <c r="A278" s="6" t="s">
        <v>681</v>
      </c>
      <c r="B278" s="10">
        <v>25</v>
      </c>
      <c r="C278" s="12" t="s">
        <v>970</v>
      </c>
      <c r="D278" s="13" t="s">
        <v>978</v>
      </c>
      <c r="E278" s="13" t="s">
        <v>982</v>
      </c>
      <c r="F278" s="10">
        <v>7</v>
      </c>
      <c r="G278" s="10"/>
      <c r="H278" s="1">
        <v>771</v>
      </c>
      <c r="I278" s="1">
        <v>611</v>
      </c>
      <c r="J278" s="1">
        <v>611</v>
      </c>
      <c r="K278" s="2">
        <v>2.5</v>
      </c>
      <c r="L278">
        <v>611</v>
      </c>
      <c r="M278">
        <v>611</v>
      </c>
      <c r="N278">
        <v>611</v>
      </c>
      <c r="O278">
        <v>611</v>
      </c>
      <c r="P278">
        <v>611</v>
      </c>
      <c r="S278">
        <v>616</v>
      </c>
      <c r="T278">
        <v>618</v>
      </c>
      <c r="U278" s="17">
        <v>6.4765134800000004</v>
      </c>
      <c r="V278" s="60">
        <v>637</v>
      </c>
      <c r="W278" s="60">
        <v>634</v>
      </c>
      <c r="X278" s="60">
        <v>631</v>
      </c>
      <c r="Y278" s="60">
        <v>635</v>
      </c>
      <c r="Z278" s="60">
        <v>636</v>
      </c>
    </row>
    <row r="279" spans="1:26" x14ac:dyDescent="0.6">
      <c r="A279" s="6" t="s">
        <v>682</v>
      </c>
      <c r="B279" s="10">
        <v>25</v>
      </c>
      <c r="C279" s="12" t="s">
        <v>970</v>
      </c>
      <c r="D279" s="13" t="s">
        <v>978</v>
      </c>
      <c r="E279" s="13" t="s">
        <v>982</v>
      </c>
      <c r="F279" s="10">
        <v>8</v>
      </c>
      <c r="G279" s="10"/>
      <c r="H279" s="1">
        <v>779</v>
      </c>
      <c r="I279" s="1">
        <v>611</v>
      </c>
      <c r="J279" s="1">
        <v>612.20000000000005</v>
      </c>
      <c r="K279" s="2">
        <v>2.5</v>
      </c>
      <c r="L279">
        <v>611</v>
      </c>
      <c r="M279">
        <v>613</v>
      </c>
      <c r="N279">
        <v>613</v>
      </c>
      <c r="O279">
        <v>612</v>
      </c>
      <c r="P279">
        <v>612</v>
      </c>
      <c r="S279">
        <v>618</v>
      </c>
      <c r="T279">
        <v>618.79999999999995</v>
      </c>
      <c r="U279" s="17">
        <v>6.1558043199999997</v>
      </c>
      <c r="V279" s="60">
        <v>635</v>
      </c>
      <c r="W279" s="60">
        <v>635</v>
      </c>
      <c r="X279" s="60">
        <v>637</v>
      </c>
      <c r="Y279" s="60">
        <v>636</v>
      </c>
      <c r="Z279" s="60">
        <v>632</v>
      </c>
    </row>
    <row r="280" spans="1:26" x14ac:dyDescent="0.6">
      <c r="A280" s="6" t="s">
        <v>683</v>
      </c>
      <c r="B280" s="10">
        <v>25</v>
      </c>
      <c r="C280" s="12" t="s">
        <v>970</v>
      </c>
      <c r="D280" s="13" t="s">
        <v>978</v>
      </c>
      <c r="E280" s="13" t="s">
        <v>982</v>
      </c>
      <c r="F280" s="10">
        <v>9</v>
      </c>
      <c r="G280" s="10"/>
      <c r="H280" s="1">
        <v>749</v>
      </c>
      <c r="I280" s="1">
        <v>600</v>
      </c>
      <c r="J280" s="1">
        <v>600.6</v>
      </c>
      <c r="K280" s="2">
        <v>2.5099999999999998</v>
      </c>
      <c r="L280">
        <v>601</v>
      </c>
      <c r="M280">
        <v>601</v>
      </c>
      <c r="N280">
        <v>601</v>
      </c>
      <c r="O280">
        <v>600</v>
      </c>
      <c r="P280">
        <v>600</v>
      </c>
      <c r="S280">
        <v>606</v>
      </c>
      <c r="T280">
        <v>611.20000000000005</v>
      </c>
      <c r="U280" s="17">
        <v>6.6270716800000002</v>
      </c>
      <c r="V280" s="60">
        <v>627</v>
      </c>
      <c r="W280" s="60">
        <v>626</v>
      </c>
      <c r="X280" s="60">
        <v>626</v>
      </c>
      <c r="Y280" s="60">
        <v>621</v>
      </c>
      <c r="Z280" s="60">
        <v>623</v>
      </c>
    </row>
    <row r="281" spans="1:26" x14ac:dyDescent="0.6">
      <c r="A281" s="6" t="s">
        <v>684</v>
      </c>
      <c r="B281" s="10">
        <v>25</v>
      </c>
      <c r="C281" s="12" t="s">
        <v>970</v>
      </c>
      <c r="D281" s="13" t="s">
        <v>978</v>
      </c>
      <c r="E281" s="13" t="s">
        <v>982</v>
      </c>
      <c r="F281" s="10">
        <v>10</v>
      </c>
      <c r="G281" s="10"/>
      <c r="H281" s="1">
        <v>749</v>
      </c>
      <c r="I281" s="1">
        <v>608</v>
      </c>
      <c r="J281" s="1">
        <v>608.79999999999995</v>
      </c>
      <c r="K281" s="2">
        <v>2.5099999999999998</v>
      </c>
      <c r="L281">
        <v>609</v>
      </c>
      <c r="M281">
        <v>609</v>
      </c>
      <c r="N281">
        <v>609</v>
      </c>
      <c r="O281">
        <v>608</v>
      </c>
      <c r="P281">
        <v>609</v>
      </c>
      <c r="S281">
        <v>612</v>
      </c>
      <c r="T281">
        <v>615.20000000000005</v>
      </c>
      <c r="U281" s="17">
        <v>6.13569282</v>
      </c>
      <c r="V281" s="60">
        <v>624</v>
      </c>
      <c r="W281" s="60">
        <v>628</v>
      </c>
      <c r="X281" s="60">
        <v>627</v>
      </c>
      <c r="Y281" s="60">
        <v>630</v>
      </c>
      <c r="Z281" s="60">
        <v>628</v>
      </c>
    </row>
    <row r="282" spans="1:26" x14ac:dyDescent="0.6">
      <c r="A282" s="6" t="s">
        <v>685</v>
      </c>
      <c r="B282" s="10">
        <v>25</v>
      </c>
      <c r="C282" s="13" t="s">
        <v>974</v>
      </c>
      <c r="D282" s="13" t="s">
        <v>977</v>
      </c>
      <c r="E282" s="13" t="s">
        <v>981</v>
      </c>
      <c r="F282" s="10">
        <v>1</v>
      </c>
      <c r="G282" s="10"/>
      <c r="H282" s="1">
        <v>875</v>
      </c>
      <c r="I282" s="1">
        <v>732</v>
      </c>
      <c r="J282" s="1">
        <v>732.6</v>
      </c>
      <c r="K282" s="2">
        <v>2.5099999999999998</v>
      </c>
      <c r="L282">
        <v>732</v>
      </c>
      <c r="M282">
        <v>733</v>
      </c>
      <c r="N282">
        <v>733</v>
      </c>
      <c r="O282">
        <v>733</v>
      </c>
      <c r="P282">
        <v>732</v>
      </c>
      <c r="S282">
        <v>737</v>
      </c>
      <c r="T282">
        <v>739.2</v>
      </c>
      <c r="U282" s="17">
        <v>5.6553062599999997</v>
      </c>
      <c r="V282" s="60">
        <v>753</v>
      </c>
      <c r="W282" s="60">
        <v>752</v>
      </c>
      <c r="X282" s="60">
        <v>750</v>
      </c>
      <c r="Y282" s="60">
        <v>752</v>
      </c>
      <c r="Z282" s="60">
        <v>753</v>
      </c>
    </row>
    <row r="283" spans="1:26" x14ac:dyDescent="0.6">
      <c r="A283" s="6" t="s">
        <v>686</v>
      </c>
      <c r="B283" s="10">
        <v>25</v>
      </c>
      <c r="C283" s="13" t="s">
        <v>975</v>
      </c>
      <c r="D283" s="13" t="s">
        <v>977</v>
      </c>
      <c r="E283" s="13" t="s">
        <v>983</v>
      </c>
      <c r="F283" s="10">
        <v>2</v>
      </c>
      <c r="G283" s="10"/>
      <c r="H283" s="1">
        <v>766</v>
      </c>
      <c r="I283" s="1">
        <v>715</v>
      </c>
      <c r="J283" s="1">
        <v>715</v>
      </c>
      <c r="K283" s="2">
        <v>2.5</v>
      </c>
      <c r="L283">
        <v>715</v>
      </c>
      <c r="M283">
        <v>715</v>
      </c>
      <c r="N283">
        <v>715</v>
      </c>
      <c r="O283">
        <v>715</v>
      </c>
      <c r="P283">
        <v>715</v>
      </c>
      <c r="S283">
        <v>720</v>
      </c>
      <c r="T283">
        <v>722.2</v>
      </c>
      <c r="U283" s="17">
        <v>5.8774854799999998</v>
      </c>
      <c r="V283" s="60">
        <v>737</v>
      </c>
      <c r="W283" s="60">
        <v>733</v>
      </c>
      <c r="X283" s="60">
        <v>733</v>
      </c>
      <c r="Y283" s="60">
        <v>735</v>
      </c>
      <c r="Z283" s="60">
        <v>735</v>
      </c>
    </row>
    <row r="284" spans="1:26" x14ac:dyDescent="0.6">
      <c r="A284" s="6" t="s">
        <v>687</v>
      </c>
      <c r="B284" s="10">
        <v>25</v>
      </c>
      <c r="C284" s="13" t="s">
        <v>973</v>
      </c>
      <c r="D284" s="13" t="s">
        <v>976</v>
      </c>
      <c r="E284" s="13" t="s">
        <v>980</v>
      </c>
      <c r="F284" s="10">
        <v>3</v>
      </c>
      <c r="G284" s="10"/>
      <c r="H284" s="1">
        <v>828</v>
      </c>
      <c r="I284" s="1">
        <v>728</v>
      </c>
      <c r="J284" s="1">
        <v>728.4</v>
      </c>
      <c r="K284" s="2">
        <v>2.5099999999999998</v>
      </c>
      <c r="L284">
        <v>729</v>
      </c>
      <c r="M284">
        <v>728</v>
      </c>
      <c r="N284">
        <v>728</v>
      </c>
      <c r="O284">
        <v>728</v>
      </c>
      <c r="P284">
        <v>729</v>
      </c>
      <c r="S284">
        <v>733</v>
      </c>
      <c r="T284">
        <v>734.4</v>
      </c>
      <c r="U284" s="17">
        <v>5.8675478400000003</v>
      </c>
      <c r="V284" s="60">
        <v>748</v>
      </c>
      <c r="W284" s="60">
        <v>749</v>
      </c>
      <c r="X284" s="60">
        <v>744</v>
      </c>
      <c r="Y284" s="60">
        <v>747</v>
      </c>
      <c r="Z284" s="60">
        <v>743</v>
      </c>
    </row>
    <row r="285" spans="1:26" x14ac:dyDescent="0.6">
      <c r="A285" s="6" t="s">
        <v>688</v>
      </c>
      <c r="B285" s="10">
        <v>25</v>
      </c>
      <c r="C285" s="13" t="s">
        <v>973</v>
      </c>
      <c r="D285" s="13" t="s">
        <v>976</v>
      </c>
      <c r="E285" s="13" t="s">
        <v>980</v>
      </c>
      <c r="F285" s="10">
        <v>4</v>
      </c>
      <c r="G285" s="10"/>
      <c r="H285" s="1">
        <v>856</v>
      </c>
      <c r="I285" s="1">
        <v>739</v>
      </c>
      <c r="J285" s="1">
        <v>739</v>
      </c>
      <c r="K285" s="2">
        <v>2.5099999999999998</v>
      </c>
      <c r="L285">
        <v>739</v>
      </c>
      <c r="M285">
        <v>739</v>
      </c>
      <c r="N285">
        <v>739</v>
      </c>
      <c r="O285">
        <v>739</v>
      </c>
      <c r="P285">
        <v>739</v>
      </c>
      <c r="S285">
        <v>743</v>
      </c>
      <c r="T285">
        <v>745.8</v>
      </c>
      <c r="U285" s="17">
        <v>6.1219370800000004</v>
      </c>
      <c r="V285" s="60">
        <v>758</v>
      </c>
      <c r="W285" s="60">
        <v>760</v>
      </c>
      <c r="X285" s="60">
        <v>760</v>
      </c>
      <c r="Y285" s="60">
        <v>761</v>
      </c>
      <c r="Z285" s="60">
        <v>760</v>
      </c>
    </row>
    <row r="286" spans="1:26" x14ac:dyDescent="0.6">
      <c r="A286" s="6" t="s">
        <v>689</v>
      </c>
      <c r="B286" s="10">
        <v>25</v>
      </c>
      <c r="C286" s="13" t="s">
        <v>973</v>
      </c>
      <c r="D286" s="13" t="s">
        <v>976</v>
      </c>
      <c r="E286" s="13" t="s">
        <v>980</v>
      </c>
      <c r="F286" s="10">
        <v>5</v>
      </c>
      <c r="G286" s="10"/>
      <c r="H286" s="1">
        <v>849</v>
      </c>
      <c r="I286" s="1">
        <v>718</v>
      </c>
      <c r="J286" s="1">
        <v>718.2</v>
      </c>
      <c r="K286" s="2">
        <v>2.5</v>
      </c>
      <c r="L286">
        <v>718</v>
      </c>
      <c r="M286">
        <v>719</v>
      </c>
      <c r="N286">
        <v>718</v>
      </c>
      <c r="O286">
        <v>718</v>
      </c>
      <c r="P286">
        <v>718</v>
      </c>
      <c r="S286">
        <v>723</v>
      </c>
      <c r="T286">
        <v>725</v>
      </c>
      <c r="U286" s="17">
        <v>5.8631961400000003</v>
      </c>
      <c r="V286" s="60">
        <v>740</v>
      </c>
      <c r="W286" s="60">
        <v>735</v>
      </c>
      <c r="X286" s="60">
        <v>740</v>
      </c>
      <c r="Y286" s="60">
        <v>739</v>
      </c>
      <c r="Z286" s="60">
        <v>741</v>
      </c>
    </row>
    <row r="287" spans="1:26" x14ac:dyDescent="0.6">
      <c r="A287" s="6" t="s">
        <v>690</v>
      </c>
      <c r="B287" s="10">
        <v>25</v>
      </c>
      <c r="C287" s="13" t="s">
        <v>973</v>
      </c>
      <c r="D287" s="13" t="s">
        <v>976</v>
      </c>
      <c r="E287" s="13" t="s">
        <v>980</v>
      </c>
      <c r="F287" s="10">
        <v>6</v>
      </c>
      <c r="G287" s="10"/>
      <c r="H287" s="1">
        <v>837</v>
      </c>
      <c r="I287" s="1">
        <v>753</v>
      </c>
      <c r="J287" s="1">
        <v>753.8</v>
      </c>
      <c r="K287" s="2">
        <v>2.5</v>
      </c>
      <c r="L287">
        <v>754</v>
      </c>
      <c r="M287">
        <v>754</v>
      </c>
      <c r="N287">
        <v>753</v>
      </c>
      <c r="O287">
        <v>754</v>
      </c>
      <c r="P287">
        <v>754</v>
      </c>
      <c r="S287">
        <v>758</v>
      </c>
      <c r="T287">
        <v>759.8</v>
      </c>
      <c r="U287" s="17">
        <v>5.9742040200000002</v>
      </c>
      <c r="V287" s="60">
        <v>770</v>
      </c>
      <c r="W287" s="60">
        <v>771</v>
      </c>
      <c r="X287" s="60">
        <v>773</v>
      </c>
      <c r="Y287" s="60">
        <v>770</v>
      </c>
      <c r="Z287" s="60">
        <v>770</v>
      </c>
    </row>
    <row r="288" spans="1:26" x14ac:dyDescent="0.6">
      <c r="A288" s="6" t="s">
        <v>691</v>
      </c>
      <c r="B288" s="10">
        <v>25</v>
      </c>
      <c r="C288" s="13" t="s">
        <v>973</v>
      </c>
      <c r="D288" s="13" t="s">
        <v>976</v>
      </c>
      <c r="E288" s="13" t="s">
        <v>980</v>
      </c>
      <c r="F288" s="10">
        <v>7</v>
      </c>
      <c r="G288" s="10"/>
      <c r="H288" s="1">
        <v>841</v>
      </c>
      <c r="I288" s="1">
        <v>741</v>
      </c>
      <c r="J288" s="1">
        <v>741</v>
      </c>
      <c r="K288" s="2">
        <v>2.5099999999999998</v>
      </c>
      <c r="L288">
        <v>741</v>
      </c>
      <c r="M288">
        <v>741</v>
      </c>
      <c r="N288">
        <v>741</v>
      </c>
      <c r="O288">
        <v>741</v>
      </c>
      <c r="P288">
        <v>741</v>
      </c>
      <c r="S288">
        <v>745</v>
      </c>
      <c r="T288">
        <v>748.4</v>
      </c>
      <c r="U288" s="17">
        <v>6.3842672800000004</v>
      </c>
      <c r="V288" s="60">
        <v>762</v>
      </c>
      <c r="W288" s="60">
        <v>761</v>
      </c>
      <c r="X288" s="60">
        <v>759</v>
      </c>
      <c r="Y288" s="60">
        <v>762</v>
      </c>
      <c r="Z288" s="60">
        <v>761</v>
      </c>
    </row>
    <row r="289" spans="1:26" x14ac:dyDescent="0.6">
      <c r="A289" s="6" t="s">
        <v>692</v>
      </c>
      <c r="B289" s="10">
        <v>25</v>
      </c>
      <c r="C289" s="13" t="s">
        <v>973</v>
      </c>
      <c r="D289" s="13" t="s">
        <v>976</v>
      </c>
      <c r="E289" s="13" t="s">
        <v>980</v>
      </c>
      <c r="F289" s="10">
        <v>8</v>
      </c>
      <c r="G289" s="10"/>
      <c r="H289" s="1">
        <v>849</v>
      </c>
      <c r="I289" s="1">
        <v>742</v>
      </c>
      <c r="J289" s="1">
        <v>742.2</v>
      </c>
      <c r="K289" s="2">
        <v>2.5</v>
      </c>
      <c r="L289">
        <v>743</v>
      </c>
      <c r="M289">
        <v>742</v>
      </c>
      <c r="N289">
        <v>742</v>
      </c>
      <c r="O289">
        <v>742</v>
      </c>
      <c r="P289">
        <v>742</v>
      </c>
      <c r="S289">
        <v>749</v>
      </c>
      <c r="T289">
        <v>750.8</v>
      </c>
      <c r="U289" s="17">
        <v>5.8783168799999999</v>
      </c>
      <c r="V289" s="60">
        <v>765</v>
      </c>
      <c r="W289" s="60">
        <v>762</v>
      </c>
      <c r="X289" s="60">
        <v>765</v>
      </c>
      <c r="Y289" s="60">
        <v>764</v>
      </c>
      <c r="Z289" s="60">
        <v>761</v>
      </c>
    </row>
    <row r="290" spans="1:26" x14ac:dyDescent="0.6">
      <c r="A290" s="6" t="s">
        <v>693</v>
      </c>
      <c r="B290" s="10">
        <v>25</v>
      </c>
      <c r="C290" s="13" t="s">
        <v>973</v>
      </c>
      <c r="D290" s="13" t="s">
        <v>976</v>
      </c>
      <c r="E290" s="13" t="s">
        <v>980</v>
      </c>
      <c r="F290" s="10">
        <v>9</v>
      </c>
      <c r="G290" s="10"/>
      <c r="H290" s="1">
        <v>814</v>
      </c>
      <c r="I290" s="1">
        <v>730</v>
      </c>
      <c r="J290" s="1">
        <v>730.6</v>
      </c>
      <c r="K290" s="2">
        <v>2.5099999999999998</v>
      </c>
      <c r="L290">
        <v>731</v>
      </c>
      <c r="M290">
        <v>730</v>
      </c>
      <c r="N290">
        <v>731</v>
      </c>
      <c r="O290">
        <v>731</v>
      </c>
      <c r="P290">
        <v>730</v>
      </c>
      <c r="S290">
        <v>732</v>
      </c>
      <c r="T290">
        <v>736.8</v>
      </c>
      <c r="U290" s="17">
        <v>6.3573549199999997</v>
      </c>
      <c r="V290" s="60">
        <v>750</v>
      </c>
      <c r="W290" s="60">
        <v>752</v>
      </c>
      <c r="X290" s="60">
        <v>754</v>
      </c>
      <c r="Y290" s="60">
        <v>754</v>
      </c>
      <c r="Z290" s="60">
        <v>748</v>
      </c>
    </row>
    <row r="291" spans="1:26" x14ac:dyDescent="0.6">
      <c r="A291" s="6" t="s">
        <v>694</v>
      </c>
      <c r="B291" s="10">
        <v>25</v>
      </c>
      <c r="C291" s="13" t="s">
        <v>973</v>
      </c>
      <c r="D291" s="13" t="s">
        <v>976</v>
      </c>
      <c r="E291" s="13" t="s">
        <v>980</v>
      </c>
      <c r="F291" s="10">
        <v>10</v>
      </c>
      <c r="G291" s="10"/>
      <c r="H291" s="1">
        <v>829</v>
      </c>
      <c r="I291" s="1">
        <v>739</v>
      </c>
      <c r="J291" s="1">
        <v>739</v>
      </c>
      <c r="K291" s="2">
        <v>2.5099999999999998</v>
      </c>
      <c r="L291">
        <v>739</v>
      </c>
      <c r="M291">
        <v>739</v>
      </c>
      <c r="N291">
        <v>739</v>
      </c>
      <c r="O291">
        <v>739</v>
      </c>
      <c r="P291">
        <v>739</v>
      </c>
      <c r="S291">
        <v>745</v>
      </c>
      <c r="T291">
        <v>746</v>
      </c>
      <c r="U291" s="17">
        <v>5.8222788000000003</v>
      </c>
      <c r="V291" s="60">
        <v>759</v>
      </c>
      <c r="W291" s="60">
        <v>757</v>
      </c>
      <c r="X291" s="60">
        <v>759</v>
      </c>
      <c r="Y291" s="60">
        <v>759</v>
      </c>
      <c r="Z291" s="60">
        <v>752</v>
      </c>
    </row>
    <row r="292" spans="1:26" x14ac:dyDescent="0.6">
      <c r="A292" s="6" t="s">
        <v>695</v>
      </c>
      <c r="B292" s="10">
        <v>25</v>
      </c>
      <c r="C292" s="13" t="s">
        <v>973</v>
      </c>
      <c r="D292" s="13" t="s">
        <v>976</v>
      </c>
      <c r="E292" s="13" t="s">
        <v>984</v>
      </c>
      <c r="F292" s="10">
        <v>1</v>
      </c>
      <c r="G292" s="10"/>
      <c r="H292" s="1">
        <v>989</v>
      </c>
      <c r="I292" s="1">
        <v>732</v>
      </c>
      <c r="J292" s="1">
        <v>732.4</v>
      </c>
      <c r="K292" s="2">
        <v>2.5099999999999998</v>
      </c>
      <c r="L292">
        <v>733</v>
      </c>
      <c r="M292">
        <v>733</v>
      </c>
      <c r="N292">
        <v>732</v>
      </c>
      <c r="O292">
        <v>732</v>
      </c>
      <c r="P292">
        <v>732</v>
      </c>
      <c r="S292">
        <v>738</v>
      </c>
      <c r="T292">
        <v>739.8</v>
      </c>
      <c r="U292" s="17">
        <v>6.0116968599999998</v>
      </c>
      <c r="V292" s="60">
        <v>752</v>
      </c>
      <c r="W292" s="60">
        <v>752</v>
      </c>
      <c r="X292" s="60">
        <v>751</v>
      </c>
      <c r="Y292" s="60">
        <v>752</v>
      </c>
      <c r="Z292" s="60">
        <v>755</v>
      </c>
    </row>
    <row r="293" spans="1:26" x14ac:dyDescent="0.6">
      <c r="A293" s="6" t="s">
        <v>696</v>
      </c>
      <c r="B293" s="10">
        <v>25</v>
      </c>
      <c r="C293" s="13" t="s">
        <v>973</v>
      </c>
      <c r="D293" s="13" t="s">
        <v>976</v>
      </c>
      <c r="E293" s="13" t="s">
        <v>985</v>
      </c>
      <c r="F293" s="10">
        <v>2</v>
      </c>
      <c r="G293" s="10"/>
      <c r="H293" s="1">
        <v>804</v>
      </c>
      <c r="I293" s="1">
        <v>714</v>
      </c>
      <c r="J293" s="1">
        <v>714.8</v>
      </c>
      <c r="K293" s="2">
        <v>2.5099999999999998</v>
      </c>
      <c r="L293">
        <v>715</v>
      </c>
      <c r="M293">
        <v>715</v>
      </c>
      <c r="N293">
        <v>714</v>
      </c>
      <c r="O293">
        <v>715</v>
      </c>
      <c r="P293">
        <v>715</v>
      </c>
      <c r="S293">
        <v>719</v>
      </c>
      <c r="T293">
        <v>721.4</v>
      </c>
      <c r="U293" s="17">
        <v>6.0008610400000002</v>
      </c>
      <c r="V293" s="60">
        <v>737</v>
      </c>
      <c r="W293" s="60">
        <v>733</v>
      </c>
      <c r="X293" s="60">
        <v>735</v>
      </c>
      <c r="Y293" s="60">
        <v>735</v>
      </c>
      <c r="Z293" s="60">
        <v>737</v>
      </c>
    </row>
    <row r="294" spans="1:26" x14ac:dyDescent="0.6">
      <c r="A294" s="6" t="s">
        <v>697</v>
      </c>
      <c r="B294" s="10">
        <v>25</v>
      </c>
      <c r="C294" s="13" t="s">
        <v>973</v>
      </c>
      <c r="D294" s="13" t="s">
        <v>976</v>
      </c>
      <c r="E294" s="13" t="s">
        <v>982</v>
      </c>
      <c r="F294" s="10">
        <v>3</v>
      </c>
      <c r="G294" s="10"/>
      <c r="H294" s="1">
        <v>905</v>
      </c>
      <c r="I294" s="1">
        <v>728</v>
      </c>
      <c r="J294" s="1">
        <v>728.2</v>
      </c>
      <c r="K294" s="2">
        <v>2.5099999999999998</v>
      </c>
      <c r="L294">
        <v>728</v>
      </c>
      <c r="M294">
        <v>728</v>
      </c>
      <c r="N294">
        <v>728</v>
      </c>
      <c r="O294">
        <v>729</v>
      </c>
      <c r="P294">
        <v>728</v>
      </c>
      <c r="S294">
        <v>733</v>
      </c>
      <c r="T294">
        <v>736.2</v>
      </c>
      <c r="U294" s="17">
        <v>6.0360404599999997</v>
      </c>
      <c r="V294" s="60">
        <v>749</v>
      </c>
      <c r="W294" s="60">
        <v>748</v>
      </c>
      <c r="X294" s="60">
        <v>749</v>
      </c>
      <c r="Y294" s="60">
        <v>748</v>
      </c>
      <c r="Z294" s="60">
        <v>744</v>
      </c>
    </row>
    <row r="295" spans="1:26" x14ac:dyDescent="0.6">
      <c r="A295" s="6" t="s">
        <v>698</v>
      </c>
      <c r="B295" s="10">
        <v>25</v>
      </c>
      <c r="C295" s="13" t="s">
        <v>973</v>
      </c>
      <c r="D295" s="13" t="s">
        <v>976</v>
      </c>
      <c r="E295" s="13" t="s">
        <v>982</v>
      </c>
      <c r="F295" s="10">
        <v>4</v>
      </c>
      <c r="G295" s="10"/>
      <c r="H295" s="1">
        <v>936</v>
      </c>
      <c r="I295" s="1">
        <v>739</v>
      </c>
      <c r="J295" s="1">
        <v>739</v>
      </c>
      <c r="K295" s="2">
        <v>2.5099999999999998</v>
      </c>
      <c r="L295">
        <v>739</v>
      </c>
      <c r="M295">
        <v>739</v>
      </c>
      <c r="N295">
        <v>739</v>
      </c>
      <c r="O295">
        <v>739</v>
      </c>
      <c r="P295">
        <v>739</v>
      </c>
      <c r="S295">
        <v>741</v>
      </c>
      <c r="T295">
        <v>745.6</v>
      </c>
      <c r="U295" s="17">
        <v>6.0716437799999996</v>
      </c>
      <c r="V295" s="60">
        <v>760</v>
      </c>
      <c r="W295" s="60">
        <v>760</v>
      </c>
      <c r="X295" s="60">
        <v>760</v>
      </c>
      <c r="Y295" s="60">
        <v>760</v>
      </c>
      <c r="Z295" s="60">
        <v>762</v>
      </c>
    </row>
    <row r="296" spans="1:26" x14ac:dyDescent="0.6">
      <c r="A296" s="6" t="s">
        <v>699</v>
      </c>
      <c r="B296" s="10">
        <v>25</v>
      </c>
      <c r="C296" s="13" t="s">
        <v>973</v>
      </c>
      <c r="D296" s="13" t="s">
        <v>976</v>
      </c>
      <c r="E296" s="13" t="s">
        <v>982</v>
      </c>
      <c r="F296" s="10">
        <v>5</v>
      </c>
      <c r="G296" s="10"/>
      <c r="H296" s="1">
        <v>929</v>
      </c>
      <c r="I296" s="1">
        <v>718</v>
      </c>
      <c r="J296" s="1">
        <v>718.2</v>
      </c>
      <c r="K296" s="2">
        <v>2.5099999999999998</v>
      </c>
      <c r="L296">
        <v>718</v>
      </c>
      <c r="M296">
        <v>718</v>
      </c>
      <c r="N296">
        <v>719</v>
      </c>
      <c r="O296">
        <v>718</v>
      </c>
      <c r="P296">
        <v>718</v>
      </c>
      <c r="S296">
        <v>725</v>
      </c>
      <c r="T296">
        <v>726.8</v>
      </c>
      <c r="U296" s="17">
        <v>5.8800778200000003</v>
      </c>
      <c r="V296" s="60">
        <v>737</v>
      </c>
      <c r="W296" s="60">
        <v>738</v>
      </c>
      <c r="X296" s="60">
        <v>737</v>
      </c>
      <c r="Y296" s="60">
        <v>739</v>
      </c>
      <c r="Z296" s="60">
        <v>739</v>
      </c>
    </row>
    <row r="297" spans="1:26" x14ac:dyDescent="0.6">
      <c r="A297" s="6" t="s">
        <v>700</v>
      </c>
      <c r="B297" s="10">
        <v>25</v>
      </c>
      <c r="C297" s="13" t="s">
        <v>973</v>
      </c>
      <c r="D297" s="13" t="s">
        <v>976</v>
      </c>
      <c r="E297" s="13" t="s">
        <v>982</v>
      </c>
      <c r="F297" s="10">
        <v>6</v>
      </c>
      <c r="G297" s="10"/>
      <c r="H297" s="1">
        <v>900</v>
      </c>
      <c r="I297" s="1">
        <v>753</v>
      </c>
      <c r="J297" s="1">
        <v>753.6</v>
      </c>
      <c r="K297" s="2">
        <v>2.5099999999999998</v>
      </c>
      <c r="L297">
        <v>753</v>
      </c>
      <c r="M297">
        <v>754</v>
      </c>
      <c r="N297">
        <v>754</v>
      </c>
      <c r="O297">
        <v>754</v>
      </c>
      <c r="P297">
        <v>753</v>
      </c>
      <c r="S297">
        <v>758</v>
      </c>
      <c r="T297">
        <v>759.2</v>
      </c>
      <c r="U297" s="17">
        <v>6.0730538799999998</v>
      </c>
      <c r="V297" s="60">
        <v>768</v>
      </c>
      <c r="W297" s="60">
        <v>771</v>
      </c>
      <c r="X297" s="60">
        <v>773</v>
      </c>
      <c r="Y297" s="60">
        <v>772</v>
      </c>
      <c r="Z297" s="60">
        <v>775</v>
      </c>
    </row>
    <row r="298" spans="1:26" x14ac:dyDescent="0.6">
      <c r="A298" s="6" t="s">
        <v>701</v>
      </c>
      <c r="B298" s="10">
        <v>25</v>
      </c>
      <c r="C298" s="13" t="s">
        <v>973</v>
      </c>
      <c r="D298" s="13" t="s">
        <v>976</v>
      </c>
      <c r="E298" s="13" t="s">
        <v>982</v>
      </c>
      <c r="F298" s="10">
        <v>7</v>
      </c>
      <c r="G298" s="10"/>
      <c r="H298" s="1">
        <v>921</v>
      </c>
      <c r="I298" s="1">
        <v>741</v>
      </c>
      <c r="J298" s="1">
        <v>741</v>
      </c>
      <c r="K298" s="2">
        <v>2.5</v>
      </c>
      <c r="L298">
        <v>741</v>
      </c>
      <c r="M298">
        <v>741</v>
      </c>
      <c r="N298">
        <v>741</v>
      </c>
      <c r="O298">
        <v>741</v>
      </c>
      <c r="P298">
        <v>741</v>
      </c>
      <c r="S298">
        <v>745</v>
      </c>
      <c r="T298">
        <v>746.2</v>
      </c>
      <c r="U298" s="17">
        <v>6.5412153799999997</v>
      </c>
      <c r="V298" s="60">
        <v>766</v>
      </c>
      <c r="W298" s="60">
        <v>766</v>
      </c>
      <c r="X298" s="60">
        <v>763</v>
      </c>
      <c r="Y298" s="60">
        <v>763</v>
      </c>
      <c r="Z298" s="60">
        <v>763</v>
      </c>
    </row>
    <row r="299" spans="1:26" x14ac:dyDescent="0.6">
      <c r="A299" s="6" t="s">
        <v>702</v>
      </c>
      <c r="B299" s="10">
        <v>25</v>
      </c>
      <c r="C299" s="13" t="s">
        <v>973</v>
      </c>
      <c r="D299" s="13" t="s">
        <v>976</v>
      </c>
      <c r="E299" s="13" t="s">
        <v>982</v>
      </c>
      <c r="F299" s="10">
        <v>8</v>
      </c>
      <c r="G299" s="10"/>
      <c r="H299" s="1">
        <v>929</v>
      </c>
      <c r="I299" s="1">
        <v>741</v>
      </c>
      <c r="J299" s="1">
        <v>742</v>
      </c>
      <c r="K299" s="2">
        <v>2.5099999999999998</v>
      </c>
      <c r="L299">
        <v>742</v>
      </c>
      <c r="M299">
        <v>741</v>
      </c>
      <c r="N299">
        <v>742</v>
      </c>
      <c r="O299">
        <v>742</v>
      </c>
      <c r="P299">
        <v>743</v>
      </c>
      <c r="S299">
        <v>748</v>
      </c>
      <c r="T299">
        <v>750.6</v>
      </c>
      <c r="U299" s="17">
        <v>5.9543037600000002</v>
      </c>
      <c r="V299" s="60">
        <v>763</v>
      </c>
      <c r="W299" s="60">
        <v>760</v>
      </c>
      <c r="X299" s="60">
        <v>762</v>
      </c>
      <c r="Y299" s="60">
        <v>759</v>
      </c>
      <c r="Z299" s="60">
        <v>765</v>
      </c>
    </row>
    <row r="300" spans="1:26" x14ac:dyDescent="0.6">
      <c r="A300" s="6" t="s">
        <v>703</v>
      </c>
      <c r="B300" s="10">
        <v>25</v>
      </c>
      <c r="C300" s="13" t="s">
        <v>973</v>
      </c>
      <c r="D300" s="13" t="s">
        <v>976</v>
      </c>
      <c r="E300" s="13" t="s">
        <v>982</v>
      </c>
      <c r="F300" s="10">
        <v>9</v>
      </c>
      <c r="G300" s="10"/>
      <c r="H300" s="1">
        <v>894</v>
      </c>
      <c r="I300" s="1">
        <v>730</v>
      </c>
      <c r="J300" s="1">
        <v>730.6</v>
      </c>
      <c r="K300" s="2">
        <v>2.5099999999999998</v>
      </c>
      <c r="L300">
        <v>730</v>
      </c>
      <c r="M300">
        <v>731</v>
      </c>
      <c r="N300">
        <v>730</v>
      </c>
      <c r="O300">
        <v>731</v>
      </c>
      <c r="P300">
        <v>731</v>
      </c>
      <c r="S300">
        <v>736</v>
      </c>
      <c r="T300">
        <v>739.4</v>
      </c>
      <c r="U300" s="17">
        <v>6.5497179000000001</v>
      </c>
      <c r="V300" s="60">
        <v>754</v>
      </c>
      <c r="W300" s="60">
        <v>757</v>
      </c>
      <c r="X300" s="60">
        <v>753</v>
      </c>
      <c r="Y300" s="60">
        <v>756</v>
      </c>
      <c r="Z300" s="60">
        <v>756</v>
      </c>
    </row>
    <row r="301" spans="1:26" x14ac:dyDescent="0.6">
      <c r="A301" s="6" t="s">
        <v>704</v>
      </c>
      <c r="B301" s="10">
        <v>25</v>
      </c>
      <c r="C301" s="13" t="s">
        <v>973</v>
      </c>
      <c r="D301" s="13" t="s">
        <v>976</v>
      </c>
      <c r="E301" s="13" t="s">
        <v>982</v>
      </c>
      <c r="F301" s="10">
        <v>10</v>
      </c>
      <c r="G301" s="10"/>
      <c r="H301" s="1">
        <v>889</v>
      </c>
      <c r="I301" s="1">
        <v>739</v>
      </c>
      <c r="J301" s="1">
        <v>739</v>
      </c>
      <c r="K301" s="2">
        <v>2.5099999999999998</v>
      </c>
      <c r="L301">
        <v>739</v>
      </c>
      <c r="M301">
        <v>739</v>
      </c>
      <c r="N301">
        <v>739</v>
      </c>
      <c r="O301">
        <v>739</v>
      </c>
      <c r="P301">
        <v>739</v>
      </c>
      <c r="S301">
        <v>745</v>
      </c>
      <c r="T301">
        <v>747.2</v>
      </c>
      <c r="U301" s="17">
        <v>5.7706587599999999</v>
      </c>
      <c r="V301" s="60">
        <v>760</v>
      </c>
      <c r="W301" s="60">
        <v>758</v>
      </c>
      <c r="X301" s="60">
        <v>759</v>
      </c>
      <c r="Y301" s="60">
        <v>757</v>
      </c>
      <c r="Z301" s="60">
        <v>759</v>
      </c>
    </row>
    <row r="302" spans="1:26" x14ac:dyDescent="0.6">
      <c r="A302" s="6" t="s">
        <v>705</v>
      </c>
      <c r="B302" s="10">
        <v>25</v>
      </c>
      <c r="C302" s="13" t="s">
        <v>973</v>
      </c>
      <c r="D302" s="13" t="s">
        <v>979</v>
      </c>
      <c r="E302" s="13" t="s">
        <v>981</v>
      </c>
      <c r="F302" s="10">
        <v>1</v>
      </c>
      <c r="G302" s="10"/>
      <c r="H302" s="1">
        <v>970</v>
      </c>
      <c r="I302" s="1">
        <v>852</v>
      </c>
      <c r="J302" s="1">
        <v>852.2</v>
      </c>
      <c r="K302" s="2">
        <v>2.5099999999999998</v>
      </c>
      <c r="L302">
        <v>852</v>
      </c>
      <c r="M302">
        <v>852</v>
      </c>
      <c r="N302">
        <v>852</v>
      </c>
      <c r="O302">
        <v>853</v>
      </c>
      <c r="P302">
        <v>852</v>
      </c>
      <c r="S302">
        <v>855</v>
      </c>
      <c r="T302">
        <v>859.4</v>
      </c>
      <c r="U302" s="17">
        <v>5.8510283999999997</v>
      </c>
      <c r="V302" s="60">
        <v>867</v>
      </c>
      <c r="W302" s="60">
        <v>871</v>
      </c>
      <c r="X302" s="60">
        <v>870</v>
      </c>
      <c r="Y302" s="60">
        <v>871</v>
      </c>
      <c r="Z302" s="60">
        <v>870</v>
      </c>
    </row>
    <row r="303" spans="1:26" x14ac:dyDescent="0.6">
      <c r="A303" s="6" t="s">
        <v>706</v>
      </c>
      <c r="B303" s="10">
        <v>25</v>
      </c>
      <c r="C303" s="13" t="s">
        <v>973</v>
      </c>
      <c r="D303" s="13" t="s">
        <v>979</v>
      </c>
      <c r="E303" s="13" t="s">
        <v>983</v>
      </c>
      <c r="F303" s="10">
        <v>2</v>
      </c>
      <c r="G303" s="10"/>
      <c r="H303" s="1">
        <v>881</v>
      </c>
      <c r="I303" s="1">
        <v>835</v>
      </c>
      <c r="J303" s="1">
        <v>835</v>
      </c>
      <c r="K303" s="2">
        <v>2.5099999999999998</v>
      </c>
      <c r="L303">
        <v>835</v>
      </c>
      <c r="M303">
        <v>835</v>
      </c>
      <c r="N303">
        <v>835</v>
      </c>
      <c r="O303">
        <v>835</v>
      </c>
      <c r="P303">
        <v>835</v>
      </c>
      <c r="S303">
        <v>841</v>
      </c>
      <c r="T303">
        <v>842.6</v>
      </c>
      <c r="U303" s="17">
        <v>5.9291140799999997</v>
      </c>
      <c r="V303" s="60">
        <v>855</v>
      </c>
      <c r="W303" s="60">
        <v>855</v>
      </c>
      <c r="X303" s="60">
        <v>854</v>
      </c>
      <c r="Y303" s="60">
        <v>854</v>
      </c>
      <c r="Z303" s="60">
        <v>857</v>
      </c>
    </row>
    <row r="304" spans="1:26" x14ac:dyDescent="0.6">
      <c r="A304" s="6" t="s">
        <v>707</v>
      </c>
      <c r="B304" s="10">
        <v>25</v>
      </c>
      <c r="C304" s="13" t="s">
        <v>973</v>
      </c>
      <c r="D304" s="13" t="s">
        <v>978</v>
      </c>
      <c r="E304" s="13" t="s">
        <v>980</v>
      </c>
      <c r="F304" s="10">
        <v>3</v>
      </c>
      <c r="G304" s="10"/>
      <c r="H304" s="1">
        <v>933</v>
      </c>
      <c r="I304" s="1">
        <v>848</v>
      </c>
      <c r="J304" s="1">
        <v>848</v>
      </c>
      <c r="K304" s="2">
        <v>2.5099999999999998</v>
      </c>
      <c r="L304">
        <v>848</v>
      </c>
      <c r="M304">
        <v>848</v>
      </c>
      <c r="N304">
        <v>848</v>
      </c>
      <c r="O304">
        <v>848</v>
      </c>
      <c r="P304">
        <v>848</v>
      </c>
      <c r="S304">
        <v>853</v>
      </c>
      <c r="T304">
        <v>855.2</v>
      </c>
      <c r="U304" s="17">
        <v>5.7738306399999999</v>
      </c>
      <c r="V304" s="60">
        <v>867</v>
      </c>
      <c r="W304" s="60">
        <v>865</v>
      </c>
      <c r="X304" s="60">
        <v>864</v>
      </c>
      <c r="Y304" s="60">
        <v>867</v>
      </c>
      <c r="Z304" s="60">
        <v>868</v>
      </c>
    </row>
    <row r="305" spans="1:26" x14ac:dyDescent="0.6">
      <c r="A305" s="6" t="s">
        <v>708</v>
      </c>
      <c r="B305" s="10">
        <v>25</v>
      </c>
      <c r="C305" s="13" t="s">
        <v>973</v>
      </c>
      <c r="D305" s="13" t="s">
        <v>978</v>
      </c>
      <c r="E305" s="13" t="s">
        <v>980</v>
      </c>
      <c r="F305" s="10">
        <v>4</v>
      </c>
      <c r="G305" s="10"/>
      <c r="H305" s="1">
        <v>956</v>
      </c>
      <c r="I305" s="1">
        <v>859</v>
      </c>
      <c r="J305" s="1">
        <v>859</v>
      </c>
      <c r="K305" s="2">
        <v>2.5099999999999998</v>
      </c>
      <c r="L305">
        <v>859</v>
      </c>
      <c r="M305">
        <v>859</v>
      </c>
      <c r="N305">
        <v>859</v>
      </c>
      <c r="O305">
        <v>859</v>
      </c>
      <c r="P305">
        <v>859</v>
      </c>
      <c r="S305">
        <v>866</v>
      </c>
      <c r="T305">
        <v>867.2</v>
      </c>
      <c r="U305" s="17">
        <v>6.2820118999999996</v>
      </c>
      <c r="V305" s="60">
        <v>880</v>
      </c>
      <c r="W305" s="60">
        <v>879</v>
      </c>
      <c r="X305" s="60">
        <v>879</v>
      </c>
      <c r="Y305" s="60">
        <v>881</v>
      </c>
      <c r="Z305" s="60">
        <v>881</v>
      </c>
    </row>
    <row r="306" spans="1:26" x14ac:dyDescent="0.6">
      <c r="A306" s="6" t="s">
        <v>709</v>
      </c>
      <c r="B306" s="10">
        <v>25</v>
      </c>
      <c r="C306" s="13" t="s">
        <v>973</v>
      </c>
      <c r="D306" s="13" t="s">
        <v>978</v>
      </c>
      <c r="E306" s="13" t="s">
        <v>980</v>
      </c>
      <c r="F306" s="10">
        <v>5</v>
      </c>
      <c r="G306" s="10"/>
      <c r="H306" s="1">
        <v>949</v>
      </c>
      <c r="I306" s="1">
        <v>838</v>
      </c>
      <c r="J306" s="1">
        <v>838.2</v>
      </c>
      <c r="K306" s="2">
        <v>2.5099999999999998</v>
      </c>
      <c r="L306">
        <v>838</v>
      </c>
      <c r="M306">
        <v>839</v>
      </c>
      <c r="N306">
        <v>838</v>
      </c>
      <c r="O306">
        <v>838</v>
      </c>
      <c r="P306">
        <v>838</v>
      </c>
      <c r="S306">
        <v>843</v>
      </c>
      <c r="T306">
        <v>846.6</v>
      </c>
      <c r="U306" s="17">
        <v>6.0731882400000003</v>
      </c>
      <c r="V306" s="60">
        <v>859</v>
      </c>
      <c r="W306" s="60">
        <v>859</v>
      </c>
      <c r="X306" s="60">
        <v>860</v>
      </c>
      <c r="Y306" s="60">
        <v>859</v>
      </c>
      <c r="Z306" s="60">
        <v>856</v>
      </c>
    </row>
    <row r="307" spans="1:26" x14ac:dyDescent="0.6">
      <c r="A307" s="6" t="s">
        <v>710</v>
      </c>
      <c r="B307" s="10">
        <v>25</v>
      </c>
      <c r="C307" s="13" t="s">
        <v>973</v>
      </c>
      <c r="D307" s="13" t="s">
        <v>978</v>
      </c>
      <c r="E307" s="13" t="s">
        <v>980</v>
      </c>
      <c r="F307" s="10">
        <v>6</v>
      </c>
      <c r="G307" s="10"/>
      <c r="H307" s="1">
        <v>942</v>
      </c>
      <c r="I307" s="1">
        <v>873</v>
      </c>
      <c r="J307" s="1">
        <v>873.6</v>
      </c>
      <c r="K307" s="2">
        <v>2.5</v>
      </c>
      <c r="L307">
        <v>873</v>
      </c>
      <c r="M307">
        <v>874</v>
      </c>
      <c r="N307">
        <v>873</v>
      </c>
      <c r="O307">
        <v>874</v>
      </c>
      <c r="P307">
        <v>874</v>
      </c>
      <c r="S307">
        <v>878</v>
      </c>
      <c r="T307">
        <v>881</v>
      </c>
      <c r="U307" s="17">
        <v>5.8901154599999996</v>
      </c>
      <c r="V307" s="60">
        <v>892</v>
      </c>
      <c r="W307" s="60">
        <v>889</v>
      </c>
      <c r="X307" s="60">
        <v>890</v>
      </c>
      <c r="Y307" s="60">
        <v>893</v>
      </c>
      <c r="Z307" s="60">
        <v>889</v>
      </c>
    </row>
    <row r="308" spans="1:26" x14ac:dyDescent="0.6">
      <c r="A308" s="6" t="s">
        <v>711</v>
      </c>
      <c r="B308" s="10">
        <v>25</v>
      </c>
      <c r="C308" s="13" t="s">
        <v>973</v>
      </c>
      <c r="D308" s="13" t="s">
        <v>978</v>
      </c>
      <c r="E308" s="13" t="s">
        <v>980</v>
      </c>
      <c r="F308" s="10">
        <v>7</v>
      </c>
      <c r="G308" s="10"/>
      <c r="H308" s="1">
        <v>941</v>
      </c>
      <c r="I308" s="1">
        <v>860</v>
      </c>
      <c r="J308" s="1">
        <v>860.6</v>
      </c>
      <c r="K308" s="2">
        <v>2.5</v>
      </c>
      <c r="L308">
        <v>861</v>
      </c>
      <c r="M308">
        <v>860</v>
      </c>
      <c r="N308">
        <v>861</v>
      </c>
      <c r="O308">
        <v>861</v>
      </c>
      <c r="P308">
        <v>860</v>
      </c>
      <c r="S308">
        <v>866</v>
      </c>
      <c r="T308">
        <v>868.8</v>
      </c>
      <c r="U308" s="17">
        <v>6.3808872799999996</v>
      </c>
      <c r="V308" s="60">
        <v>876</v>
      </c>
      <c r="W308" s="60">
        <v>882</v>
      </c>
      <c r="X308" s="60">
        <v>880</v>
      </c>
      <c r="Y308" s="60">
        <v>880</v>
      </c>
      <c r="Z308" s="60">
        <v>880</v>
      </c>
    </row>
    <row r="309" spans="1:26" x14ac:dyDescent="0.6">
      <c r="A309" s="6" t="s">
        <v>712</v>
      </c>
      <c r="B309" s="10">
        <v>25</v>
      </c>
      <c r="C309" s="13" t="s">
        <v>973</v>
      </c>
      <c r="D309" s="13" t="s">
        <v>978</v>
      </c>
      <c r="E309" s="13" t="s">
        <v>980</v>
      </c>
      <c r="F309" s="10">
        <v>8</v>
      </c>
      <c r="G309" s="10"/>
      <c r="H309" s="1">
        <v>949</v>
      </c>
      <c r="I309" s="1">
        <v>861</v>
      </c>
      <c r="J309" s="1">
        <v>862</v>
      </c>
      <c r="K309" s="2">
        <v>2.5099999999999998</v>
      </c>
      <c r="L309">
        <v>863</v>
      </c>
      <c r="M309">
        <v>861</v>
      </c>
      <c r="N309">
        <v>862</v>
      </c>
      <c r="O309">
        <v>862</v>
      </c>
      <c r="P309">
        <v>862</v>
      </c>
      <c r="S309">
        <v>867</v>
      </c>
      <c r="T309">
        <v>869.2</v>
      </c>
      <c r="U309" s="17">
        <v>6.0259037800000002</v>
      </c>
      <c r="V309" s="60">
        <v>881</v>
      </c>
      <c r="W309" s="60">
        <v>883</v>
      </c>
      <c r="X309" s="60">
        <v>882</v>
      </c>
      <c r="Y309" s="60">
        <v>881</v>
      </c>
      <c r="Z309" s="60">
        <v>882</v>
      </c>
    </row>
    <row r="310" spans="1:26" x14ac:dyDescent="0.6">
      <c r="A310" s="6" t="s">
        <v>713</v>
      </c>
      <c r="B310" s="10">
        <v>25</v>
      </c>
      <c r="C310" s="13" t="s">
        <v>973</v>
      </c>
      <c r="D310" s="13" t="s">
        <v>978</v>
      </c>
      <c r="E310" s="13" t="s">
        <v>980</v>
      </c>
      <c r="F310" s="10">
        <v>9</v>
      </c>
      <c r="G310" s="10"/>
      <c r="H310" s="1">
        <v>918</v>
      </c>
      <c r="I310" s="1">
        <v>850</v>
      </c>
      <c r="J310" s="1">
        <v>850.6</v>
      </c>
      <c r="K310" s="2">
        <v>2.5</v>
      </c>
      <c r="L310">
        <v>851</v>
      </c>
      <c r="M310">
        <v>851</v>
      </c>
      <c r="N310">
        <v>850</v>
      </c>
      <c r="O310">
        <v>850</v>
      </c>
      <c r="P310">
        <v>851</v>
      </c>
      <c r="S310">
        <v>855</v>
      </c>
      <c r="T310">
        <v>858</v>
      </c>
      <c r="U310" s="17">
        <v>6.4250086599999996</v>
      </c>
      <c r="V310" s="60">
        <v>871</v>
      </c>
      <c r="W310" s="60">
        <v>874</v>
      </c>
      <c r="X310" s="60">
        <v>870</v>
      </c>
      <c r="Y310" s="60">
        <v>871</v>
      </c>
      <c r="Z310" s="60">
        <v>872</v>
      </c>
    </row>
    <row r="311" spans="1:26" x14ac:dyDescent="0.6">
      <c r="A311" s="6" t="s">
        <v>714</v>
      </c>
      <c r="B311" s="10">
        <v>25</v>
      </c>
      <c r="C311" s="13" t="s">
        <v>973</v>
      </c>
      <c r="D311" s="13" t="s">
        <v>978</v>
      </c>
      <c r="E311" s="13" t="s">
        <v>980</v>
      </c>
      <c r="F311" s="10">
        <v>10</v>
      </c>
      <c r="G311" s="10"/>
      <c r="H311" s="1">
        <v>934</v>
      </c>
      <c r="I311" s="1">
        <v>859</v>
      </c>
      <c r="J311" s="1">
        <v>859</v>
      </c>
      <c r="K311" s="2">
        <v>2.5099999999999998</v>
      </c>
      <c r="L311">
        <v>859</v>
      </c>
      <c r="M311">
        <v>859</v>
      </c>
      <c r="N311">
        <v>859</v>
      </c>
      <c r="O311">
        <v>859</v>
      </c>
      <c r="P311">
        <v>859</v>
      </c>
      <c r="S311">
        <v>865</v>
      </c>
      <c r="T311">
        <v>866.2</v>
      </c>
      <c r="U311" s="17">
        <v>5.8659619999999997</v>
      </c>
      <c r="V311" s="60">
        <v>878</v>
      </c>
      <c r="W311" s="60">
        <v>877</v>
      </c>
      <c r="X311" s="60">
        <v>877</v>
      </c>
      <c r="Y311" s="60">
        <v>878</v>
      </c>
      <c r="Z311" s="60">
        <v>878</v>
      </c>
    </row>
    <row r="312" spans="1:26" x14ac:dyDescent="0.6">
      <c r="A312" s="6" t="s">
        <v>715</v>
      </c>
      <c r="B312" s="10">
        <v>25</v>
      </c>
      <c r="C312" s="13" t="s">
        <v>973</v>
      </c>
      <c r="D312" s="13" t="s">
        <v>978</v>
      </c>
      <c r="E312" s="13" t="s">
        <v>984</v>
      </c>
      <c r="F312" s="10">
        <v>1</v>
      </c>
      <c r="G312" s="10"/>
      <c r="H312" s="1">
        <v>1074</v>
      </c>
      <c r="I312" s="1">
        <v>852</v>
      </c>
      <c r="J312" s="1">
        <v>852.2</v>
      </c>
      <c r="K312" s="2">
        <v>2.5099999999999998</v>
      </c>
      <c r="L312">
        <v>852</v>
      </c>
      <c r="M312">
        <v>852</v>
      </c>
      <c r="N312">
        <v>853</v>
      </c>
      <c r="O312">
        <v>852</v>
      </c>
      <c r="P312">
        <v>852</v>
      </c>
      <c r="S312">
        <v>858</v>
      </c>
      <c r="T312">
        <v>859.8</v>
      </c>
      <c r="U312" s="17">
        <v>5.89622314</v>
      </c>
      <c r="V312" s="60">
        <v>874</v>
      </c>
      <c r="W312" s="60">
        <v>872</v>
      </c>
      <c r="X312" s="60">
        <v>873</v>
      </c>
      <c r="Y312" s="60">
        <v>873</v>
      </c>
      <c r="Z312" s="60">
        <v>871</v>
      </c>
    </row>
    <row r="313" spans="1:26" x14ac:dyDescent="0.6">
      <c r="A313" s="6" t="s">
        <v>716</v>
      </c>
      <c r="B313" s="10">
        <v>25</v>
      </c>
      <c r="C313" s="13" t="s">
        <v>973</v>
      </c>
      <c r="D313" s="13" t="s">
        <v>978</v>
      </c>
      <c r="E313" s="13" t="s">
        <v>985</v>
      </c>
      <c r="F313" s="10">
        <v>2</v>
      </c>
      <c r="G313" s="10"/>
      <c r="H313" s="1">
        <v>901</v>
      </c>
      <c r="I313" s="1">
        <v>834</v>
      </c>
      <c r="J313" s="1">
        <v>834.8</v>
      </c>
      <c r="K313" s="2">
        <v>2.5</v>
      </c>
      <c r="L313">
        <v>835</v>
      </c>
      <c r="M313">
        <v>835</v>
      </c>
      <c r="N313">
        <v>835</v>
      </c>
      <c r="O313">
        <v>834</v>
      </c>
      <c r="P313">
        <v>835</v>
      </c>
      <c r="S313">
        <v>838</v>
      </c>
      <c r="T313">
        <v>842.6</v>
      </c>
      <c r="U313" s="17">
        <v>6.0113097</v>
      </c>
      <c r="V313" s="60">
        <v>854</v>
      </c>
      <c r="W313" s="60">
        <v>857</v>
      </c>
      <c r="X313" s="60">
        <v>856</v>
      </c>
      <c r="Y313" s="60">
        <v>855</v>
      </c>
      <c r="Z313" s="60">
        <v>854</v>
      </c>
    </row>
    <row r="314" spans="1:26" x14ac:dyDescent="0.6">
      <c r="A314" s="6" t="s">
        <v>717</v>
      </c>
      <c r="B314" s="10">
        <v>25</v>
      </c>
      <c r="C314" s="13" t="s">
        <v>973</v>
      </c>
      <c r="D314" s="13" t="s">
        <v>978</v>
      </c>
      <c r="E314" s="13" t="s">
        <v>982</v>
      </c>
      <c r="F314" s="10">
        <v>3</v>
      </c>
      <c r="G314" s="10"/>
      <c r="H314" s="1">
        <v>1000</v>
      </c>
      <c r="I314" s="1">
        <v>848</v>
      </c>
      <c r="J314" s="1">
        <v>848</v>
      </c>
      <c r="K314" s="2">
        <v>2.5099999999999998</v>
      </c>
      <c r="L314">
        <v>848</v>
      </c>
      <c r="M314">
        <v>848</v>
      </c>
      <c r="N314">
        <v>848</v>
      </c>
      <c r="O314">
        <v>848</v>
      </c>
      <c r="P314">
        <v>848</v>
      </c>
      <c r="S314">
        <v>853</v>
      </c>
      <c r="T314">
        <v>855.4</v>
      </c>
      <c r="U314" s="17">
        <v>6.0768755199999998</v>
      </c>
      <c r="V314" s="60">
        <v>863</v>
      </c>
      <c r="W314" s="60">
        <v>866</v>
      </c>
      <c r="X314" s="60">
        <v>867</v>
      </c>
      <c r="Y314" s="60">
        <v>868</v>
      </c>
      <c r="Z314" s="60">
        <v>870</v>
      </c>
    </row>
    <row r="315" spans="1:26" x14ac:dyDescent="0.6">
      <c r="A315" s="6" t="s">
        <v>718</v>
      </c>
      <c r="B315" s="10">
        <v>25</v>
      </c>
      <c r="C315" s="13" t="s">
        <v>973</v>
      </c>
      <c r="D315" s="13" t="s">
        <v>978</v>
      </c>
      <c r="E315" s="13" t="s">
        <v>982</v>
      </c>
      <c r="F315" s="10">
        <v>4</v>
      </c>
      <c r="G315" s="10"/>
      <c r="H315" s="1">
        <v>1036</v>
      </c>
      <c r="I315" s="1">
        <v>859</v>
      </c>
      <c r="J315" s="1">
        <v>859</v>
      </c>
      <c r="K315" s="2">
        <v>2.5099999999999998</v>
      </c>
      <c r="L315">
        <v>859</v>
      </c>
      <c r="M315">
        <v>859</v>
      </c>
      <c r="N315">
        <v>859</v>
      </c>
      <c r="O315">
        <v>859</v>
      </c>
      <c r="P315">
        <v>859</v>
      </c>
      <c r="S315">
        <v>866</v>
      </c>
      <c r="T315">
        <v>867.8</v>
      </c>
      <c r="U315" s="17">
        <v>6.0505439799999996</v>
      </c>
      <c r="V315" s="60">
        <v>879</v>
      </c>
      <c r="W315" s="60">
        <v>882</v>
      </c>
      <c r="X315" s="60">
        <v>879</v>
      </c>
      <c r="Y315" s="60">
        <v>880</v>
      </c>
      <c r="Z315" s="60">
        <v>880</v>
      </c>
    </row>
    <row r="316" spans="1:26" x14ac:dyDescent="0.6">
      <c r="A316" s="6" t="s">
        <v>719</v>
      </c>
      <c r="B316" s="10">
        <v>25</v>
      </c>
      <c r="C316" s="13" t="s">
        <v>973</v>
      </c>
      <c r="D316" s="13" t="s">
        <v>978</v>
      </c>
      <c r="E316" s="13" t="s">
        <v>982</v>
      </c>
      <c r="F316" s="10">
        <v>5</v>
      </c>
      <c r="G316" s="10"/>
      <c r="H316" s="1">
        <v>1029</v>
      </c>
      <c r="I316" s="1">
        <v>838</v>
      </c>
      <c r="J316" s="1">
        <v>838.2</v>
      </c>
      <c r="K316" s="2">
        <v>2.5099999999999998</v>
      </c>
      <c r="L316">
        <v>838</v>
      </c>
      <c r="M316">
        <v>839</v>
      </c>
      <c r="N316">
        <v>838</v>
      </c>
      <c r="O316">
        <v>838</v>
      </c>
      <c r="P316">
        <v>838</v>
      </c>
      <c r="S316">
        <v>843</v>
      </c>
      <c r="T316">
        <v>846.6</v>
      </c>
      <c r="U316" s="17">
        <v>6.0083774999999999</v>
      </c>
      <c r="V316" s="60">
        <v>860</v>
      </c>
      <c r="W316" s="60">
        <v>856</v>
      </c>
      <c r="X316" s="60">
        <v>857</v>
      </c>
      <c r="Y316" s="60">
        <v>857</v>
      </c>
      <c r="Z316" s="60">
        <v>859</v>
      </c>
    </row>
    <row r="317" spans="1:26" x14ac:dyDescent="0.6">
      <c r="A317" s="6" t="s">
        <v>720</v>
      </c>
      <c r="B317" s="10">
        <v>25</v>
      </c>
      <c r="C317" s="13" t="s">
        <v>973</v>
      </c>
      <c r="D317" s="13" t="s">
        <v>978</v>
      </c>
      <c r="E317" s="13" t="s">
        <v>982</v>
      </c>
      <c r="F317" s="10">
        <v>6</v>
      </c>
      <c r="G317" s="10"/>
      <c r="H317" s="1">
        <v>1002</v>
      </c>
      <c r="I317" s="1">
        <v>873</v>
      </c>
      <c r="J317" s="1">
        <v>873.4</v>
      </c>
      <c r="K317" s="2">
        <v>2.5</v>
      </c>
      <c r="L317">
        <v>873</v>
      </c>
      <c r="M317">
        <v>874</v>
      </c>
      <c r="N317">
        <v>873</v>
      </c>
      <c r="O317">
        <v>873</v>
      </c>
      <c r="P317">
        <v>874</v>
      </c>
      <c r="S317">
        <v>878</v>
      </c>
      <c r="T317">
        <v>879.8</v>
      </c>
      <c r="U317" s="17">
        <v>5.8911936799999998</v>
      </c>
      <c r="V317" s="60">
        <v>892</v>
      </c>
      <c r="W317" s="60">
        <v>894</v>
      </c>
      <c r="X317" s="60">
        <v>890</v>
      </c>
      <c r="Y317" s="60">
        <v>894</v>
      </c>
      <c r="Z317" s="60">
        <v>890</v>
      </c>
    </row>
    <row r="318" spans="1:26" x14ac:dyDescent="0.6">
      <c r="A318" s="6" t="s">
        <v>721</v>
      </c>
      <c r="B318" s="10">
        <v>25</v>
      </c>
      <c r="C318" s="13" t="s">
        <v>973</v>
      </c>
      <c r="D318" s="13" t="s">
        <v>978</v>
      </c>
      <c r="E318" s="13" t="s">
        <v>982</v>
      </c>
      <c r="F318" s="10">
        <v>7</v>
      </c>
      <c r="G318" s="10"/>
      <c r="H318" s="1">
        <v>1021</v>
      </c>
      <c r="I318" s="1">
        <v>860</v>
      </c>
      <c r="J318" s="1">
        <v>860.8</v>
      </c>
      <c r="K318" s="2">
        <v>2.5</v>
      </c>
      <c r="L318">
        <v>861</v>
      </c>
      <c r="M318">
        <v>861</v>
      </c>
      <c r="N318">
        <v>861</v>
      </c>
      <c r="O318">
        <v>860</v>
      </c>
      <c r="P318">
        <v>861</v>
      </c>
      <c r="S318">
        <v>864</v>
      </c>
      <c r="T318">
        <v>865.8</v>
      </c>
      <c r="U318" s="17">
        <v>6.4875499000000003</v>
      </c>
      <c r="V318" s="60">
        <v>885</v>
      </c>
      <c r="W318" s="60">
        <v>881</v>
      </c>
      <c r="X318" s="60">
        <v>881</v>
      </c>
      <c r="Y318" s="60">
        <v>881</v>
      </c>
      <c r="Z318" s="60">
        <v>879</v>
      </c>
    </row>
    <row r="319" spans="1:26" x14ac:dyDescent="0.6">
      <c r="A319" s="6" t="s">
        <v>722</v>
      </c>
      <c r="B319" s="10">
        <v>25</v>
      </c>
      <c r="C319" s="13" t="s">
        <v>973</v>
      </c>
      <c r="D319" s="13" t="s">
        <v>978</v>
      </c>
      <c r="E319" s="13" t="s">
        <v>982</v>
      </c>
      <c r="F319" s="10">
        <v>8</v>
      </c>
      <c r="G319" s="10"/>
      <c r="H319" s="1">
        <v>1029</v>
      </c>
      <c r="I319" s="1">
        <v>862</v>
      </c>
      <c r="J319" s="1">
        <v>862.4</v>
      </c>
      <c r="K319" s="2">
        <v>2.5099999999999998</v>
      </c>
      <c r="L319">
        <v>862</v>
      </c>
      <c r="M319">
        <v>863</v>
      </c>
      <c r="N319">
        <v>862</v>
      </c>
      <c r="O319">
        <v>862</v>
      </c>
      <c r="P319">
        <v>863</v>
      </c>
      <c r="S319">
        <v>867</v>
      </c>
      <c r="T319">
        <v>867.8</v>
      </c>
      <c r="U319" s="17">
        <v>6.0515309999999998</v>
      </c>
      <c r="V319" s="60">
        <v>883</v>
      </c>
      <c r="W319" s="60">
        <v>883</v>
      </c>
      <c r="X319" s="60">
        <v>881</v>
      </c>
      <c r="Y319" s="60">
        <v>880</v>
      </c>
      <c r="Z319" s="60">
        <v>883</v>
      </c>
    </row>
    <row r="320" spans="1:26" x14ac:dyDescent="0.6">
      <c r="A320" s="6" t="s">
        <v>723</v>
      </c>
      <c r="B320" s="10">
        <v>25</v>
      </c>
      <c r="C320" s="13" t="s">
        <v>973</v>
      </c>
      <c r="D320" s="13" t="s">
        <v>978</v>
      </c>
      <c r="E320" s="13" t="s">
        <v>982</v>
      </c>
      <c r="F320" s="10">
        <v>9</v>
      </c>
      <c r="G320" s="10"/>
      <c r="H320" s="1">
        <v>989</v>
      </c>
      <c r="I320" s="1">
        <v>850</v>
      </c>
      <c r="J320" s="1">
        <v>850.8</v>
      </c>
      <c r="K320" s="2">
        <v>2.5099999999999998</v>
      </c>
      <c r="L320">
        <v>851</v>
      </c>
      <c r="M320">
        <v>851</v>
      </c>
      <c r="N320">
        <v>851</v>
      </c>
      <c r="O320">
        <v>851</v>
      </c>
      <c r="P320">
        <v>850</v>
      </c>
      <c r="S320">
        <v>853</v>
      </c>
      <c r="T320">
        <v>858.2</v>
      </c>
      <c r="U320" s="17">
        <v>6.62356576</v>
      </c>
      <c r="V320" s="60">
        <v>874</v>
      </c>
      <c r="W320" s="60">
        <v>875</v>
      </c>
      <c r="X320" s="60">
        <v>875</v>
      </c>
      <c r="Y320" s="60">
        <v>875</v>
      </c>
      <c r="Z320" s="60">
        <v>875</v>
      </c>
    </row>
    <row r="321" spans="1:26" x14ac:dyDescent="0.6">
      <c r="A321" s="6" t="s">
        <v>724</v>
      </c>
      <c r="B321" s="10">
        <v>25</v>
      </c>
      <c r="C321" s="13" t="s">
        <v>973</v>
      </c>
      <c r="D321" s="13" t="s">
        <v>978</v>
      </c>
      <c r="E321" s="13" t="s">
        <v>982</v>
      </c>
      <c r="F321" s="10">
        <v>10</v>
      </c>
      <c r="G321" s="10"/>
      <c r="H321" s="1">
        <v>994</v>
      </c>
      <c r="I321" s="1">
        <v>859</v>
      </c>
      <c r="J321" s="1">
        <v>859</v>
      </c>
      <c r="K321" s="2">
        <v>2.5099999999999998</v>
      </c>
      <c r="L321">
        <v>859</v>
      </c>
      <c r="M321">
        <v>859</v>
      </c>
      <c r="N321">
        <v>859</v>
      </c>
      <c r="O321">
        <v>859</v>
      </c>
      <c r="P321">
        <v>859</v>
      </c>
      <c r="S321">
        <v>864</v>
      </c>
      <c r="T321">
        <v>865.4</v>
      </c>
      <c r="U321" s="17">
        <v>5.7229477800000002</v>
      </c>
      <c r="V321" s="60">
        <v>877</v>
      </c>
      <c r="W321" s="60">
        <v>878</v>
      </c>
      <c r="X321" s="60">
        <v>880</v>
      </c>
      <c r="Y321" s="60">
        <v>878</v>
      </c>
      <c r="Z321" s="60">
        <v>878</v>
      </c>
    </row>
    <row r="322" spans="1:26" x14ac:dyDescent="0.6">
      <c r="A322" s="6" t="s">
        <v>725</v>
      </c>
      <c r="B322" s="10">
        <v>50</v>
      </c>
      <c r="C322" s="12" t="s">
        <v>971</v>
      </c>
      <c r="D322" s="13" t="s">
        <v>977</v>
      </c>
      <c r="E322" s="13" t="s">
        <v>981</v>
      </c>
      <c r="F322" s="10">
        <v>1</v>
      </c>
      <c r="G322" s="10"/>
      <c r="H322" s="1">
        <v>1195</v>
      </c>
      <c r="I322" s="1">
        <v>984</v>
      </c>
      <c r="J322" s="1">
        <v>984</v>
      </c>
      <c r="K322" s="2">
        <v>5.01</v>
      </c>
      <c r="L322">
        <v>984</v>
      </c>
      <c r="M322">
        <v>984</v>
      </c>
      <c r="N322">
        <v>984</v>
      </c>
      <c r="O322">
        <v>984</v>
      </c>
      <c r="P322">
        <v>984</v>
      </c>
      <c r="S322">
        <v>997</v>
      </c>
      <c r="T322">
        <v>998.8</v>
      </c>
      <c r="U322" s="17">
        <v>14.5123351</v>
      </c>
      <c r="V322" s="60">
        <v>1050</v>
      </c>
      <c r="W322" s="60">
        <v>1048</v>
      </c>
      <c r="X322" s="60">
        <v>1043</v>
      </c>
      <c r="Y322" s="60">
        <v>1051</v>
      </c>
      <c r="Z322" s="60">
        <v>1038</v>
      </c>
    </row>
    <row r="323" spans="1:26" x14ac:dyDescent="0.6">
      <c r="A323" s="6" t="s">
        <v>726</v>
      </c>
      <c r="B323" s="10">
        <v>50</v>
      </c>
      <c r="C323" s="12" t="s">
        <v>972</v>
      </c>
      <c r="D323" s="13" t="s">
        <v>977</v>
      </c>
      <c r="E323" s="13" t="s">
        <v>983</v>
      </c>
      <c r="F323" s="10">
        <v>2</v>
      </c>
      <c r="G323" s="10"/>
      <c r="H323" s="1">
        <v>1135</v>
      </c>
      <c r="I323" s="1">
        <v>950</v>
      </c>
      <c r="J323" s="1">
        <v>950.6</v>
      </c>
      <c r="K323" s="2">
        <v>5.01</v>
      </c>
      <c r="L323">
        <v>951</v>
      </c>
      <c r="M323">
        <v>951</v>
      </c>
      <c r="N323">
        <v>950</v>
      </c>
      <c r="O323">
        <v>950</v>
      </c>
      <c r="P323">
        <v>951</v>
      </c>
      <c r="S323">
        <v>960</v>
      </c>
      <c r="T323">
        <v>963</v>
      </c>
      <c r="U323" s="17">
        <v>14.40613336</v>
      </c>
      <c r="V323" s="60">
        <v>1012</v>
      </c>
      <c r="W323" s="60">
        <v>1012</v>
      </c>
      <c r="X323" s="60">
        <v>1007</v>
      </c>
      <c r="Y323" s="60">
        <v>1010</v>
      </c>
      <c r="Z323" s="60">
        <v>1012</v>
      </c>
    </row>
    <row r="324" spans="1:26" x14ac:dyDescent="0.6">
      <c r="A324" s="6" t="s">
        <v>727</v>
      </c>
      <c r="B324" s="10">
        <v>50</v>
      </c>
      <c r="C324" s="12" t="s">
        <v>970</v>
      </c>
      <c r="D324" s="13" t="s">
        <v>976</v>
      </c>
      <c r="E324" s="13" t="s">
        <v>980</v>
      </c>
      <c r="F324" s="10">
        <v>3</v>
      </c>
      <c r="G324" s="10"/>
      <c r="H324" s="1">
        <v>1140</v>
      </c>
      <c r="I324" s="1">
        <v>973</v>
      </c>
      <c r="J324" s="1">
        <v>974.2</v>
      </c>
      <c r="K324" s="2">
        <v>5.01</v>
      </c>
      <c r="L324">
        <v>974</v>
      </c>
      <c r="M324">
        <v>975</v>
      </c>
      <c r="N324">
        <v>975</v>
      </c>
      <c r="O324">
        <v>973</v>
      </c>
      <c r="P324">
        <v>974</v>
      </c>
      <c r="S324">
        <v>983</v>
      </c>
      <c r="T324">
        <v>987</v>
      </c>
      <c r="U324" s="17">
        <v>14.22241784</v>
      </c>
      <c r="V324" s="60">
        <v>1040</v>
      </c>
      <c r="W324" s="60">
        <v>1035</v>
      </c>
      <c r="X324" s="60">
        <v>1035</v>
      </c>
      <c r="Y324" s="60">
        <v>1037</v>
      </c>
      <c r="Z324" s="60">
        <v>1036</v>
      </c>
    </row>
    <row r="325" spans="1:26" x14ac:dyDescent="0.6">
      <c r="A325" s="6" t="s">
        <v>728</v>
      </c>
      <c r="B325" s="10">
        <v>50</v>
      </c>
      <c r="C325" s="12" t="s">
        <v>970</v>
      </c>
      <c r="D325" s="13" t="s">
        <v>976</v>
      </c>
      <c r="E325" s="13" t="s">
        <v>980</v>
      </c>
      <c r="F325" s="10">
        <v>4</v>
      </c>
      <c r="G325" s="10"/>
      <c r="H325" s="1">
        <v>1124</v>
      </c>
      <c r="I325" s="1">
        <v>964</v>
      </c>
      <c r="J325" s="1">
        <v>964.2</v>
      </c>
      <c r="K325" s="2">
        <v>5.01</v>
      </c>
      <c r="L325">
        <v>964</v>
      </c>
      <c r="M325">
        <v>964</v>
      </c>
      <c r="N325">
        <v>964</v>
      </c>
      <c r="O325">
        <v>964</v>
      </c>
      <c r="P325">
        <v>965</v>
      </c>
      <c r="S325">
        <v>970</v>
      </c>
      <c r="T325">
        <v>972.2</v>
      </c>
      <c r="U325" s="17">
        <v>14.040745680000001</v>
      </c>
      <c r="V325" s="60">
        <v>1022</v>
      </c>
      <c r="W325" s="60">
        <v>1025</v>
      </c>
      <c r="X325" s="60">
        <v>1017</v>
      </c>
      <c r="Y325" s="60">
        <v>1023</v>
      </c>
      <c r="Z325" s="60">
        <v>1025</v>
      </c>
    </row>
    <row r="326" spans="1:26" x14ac:dyDescent="0.6">
      <c r="A326" s="6" t="s">
        <v>729</v>
      </c>
      <c r="B326" s="10">
        <v>50</v>
      </c>
      <c r="C326" s="12" t="s">
        <v>970</v>
      </c>
      <c r="D326" s="13" t="s">
        <v>976</v>
      </c>
      <c r="E326" s="13" t="s">
        <v>980</v>
      </c>
      <c r="F326" s="10">
        <v>5</v>
      </c>
      <c r="G326" s="10"/>
      <c r="H326" s="1">
        <v>1205</v>
      </c>
      <c r="I326" s="1">
        <v>956</v>
      </c>
      <c r="J326" s="1">
        <v>956.4</v>
      </c>
      <c r="K326" s="2">
        <v>5.01</v>
      </c>
      <c r="L326">
        <v>956</v>
      </c>
      <c r="M326">
        <v>957</v>
      </c>
      <c r="N326">
        <v>957</v>
      </c>
      <c r="O326">
        <v>956</v>
      </c>
      <c r="P326">
        <v>956</v>
      </c>
      <c r="S326">
        <v>966</v>
      </c>
      <c r="T326">
        <v>969.2</v>
      </c>
      <c r="U326" s="17">
        <v>14.86954512</v>
      </c>
      <c r="V326" s="60">
        <v>1016</v>
      </c>
      <c r="W326" s="60">
        <v>1017</v>
      </c>
      <c r="X326" s="60">
        <v>1021</v>
      </c>
      <c r="Y326" s="60">
        <v>1018</v>
      </c>
      <c r="Z326" s="60">
        <v>1014</v>
      </c>
    </row>
    <row r="327" spans="1:26" x14ac:dyDescent="0.6">
      <c r="A327" s="6" t="s">
        <v>730</v>
      </c>
      <c r="B327" s="10">
        <v>50</v>
      </c>
      <c r="C327" s="12" t="s">
        <v>970</v>
      </c>
      <c r="D327" s="13" t="s">
        <v>976</v>
      </c>
      <c r="E327" s="13" t="s">
        <v>980</v>
      </c>
      <c r="F327" s="10">
        <v>6</v>
      </c>
      <c r="G327" s="10"/>
      <c r="H327" s="1">
        <v>1223</v>
      </c>
      <c r="I327" s="1">
        <v>957</v>
      </c>
      <c r="J327" s="1">
        <v>957.6</v>
      </c>
      <c r="K327" s="2">
        <v>5.01</v>
      </c>
      <c r="L327">
        <v>957</v>
      </c>
      <c r="M327">
        <v>958</v>
      </c>
      <c r="N327">
        <v>958</v>
      </c>
      <c r="O327">
        <v>957</v>
      </c>
      <c r="P327">
        <v>958</v>
      </c>
      <c r="S327">
        <v>966</v>
      </c>
      <c r="T327">
        <v>971.8</v>
      </c>
      <c r="U327" s="17">
        <v>14.612795820000001</v>
      </c>
      <c r="V327" s="60">
        <v>1024</v>
      </c>
      <c r="W327" s="60">
        <v>1025</v>
      </c>
      <c r="X327" s="60">
        <v>1020</v>
      </c>
      <c r="Y327" s="60">
        <v>1024</v>
      </c>
      <c r="Z327" s="60">
        <v>1026</v>
      </c>
    </row>
    <row r="328" spans="1:26" x14ac:dyDescent="0.6">
      <c r="A328" s="6" t="s">
        <v>731</v>
      </c>
      <c r="B328" s="10">
        <v>50</v>
      </c>
      <c r="C328" s="12" t="s">
        <v>970</v>
      </c>
      <c r="D328" s="13" t="s">
        <v>976</v>
      </c>
      <c r="E328" s="13" t="s">
        <v>980</v>
      </c>
      <c r="F328" s="10">
        <v>7</v>
      </c>
      <c r="G328" s="10"/>
      <c r="H328" s="1">
        <v>1223</v>
      </c>
      <c r="I328" s="1">
        <v>971</v>
      </c>
      <c r="J328" s="1">
        <v>971.2</v>
      </c>
      <c r="K328" s="2">
        <v>5.01</v>
      </c>
      <c r="L328">
        <v>971</v>
      </c>
      <c r="M328">
        <v>971</v>
      </c>
      <c r="N328">
        <v>972</v>
      </c>
      <c r="O328">
        <v>971</v>
      </c>
      <c r="P328">
        <v>971</v>
      </c>
      <c r="S328">
        <v>976</v>
      </c>
      <c r="T328">
        <v>981</v>
      </c>
      <c r="U328" s="17">
        <v>15.122828119999999</v>
      </c>
      <c r="V328" s="60">
        <v>1040</v>
      </c>
      <c r="W328" s="60">
        <v>1042</v>
      </c>
      <c r="X328" s="60">
        <v>1036</v>
      </c>
      <c r="Y328" s="60">
        <v>1039</v>
      </c>
      <c r="Z328" s="60">
        <v>1040</v>
      </c>
    </row>
    <row r="329" spans="1:26" x14ac:dyDescent="0.6">
      <c r="A329" s="6" t="s">
        <v>732</v>
      </c>
      <c r="B329" s="10">
        <v>50</v>
      </c>
      <c r="C329" s="12" t="s">
        <v>970</v>
      </c>
      <c r="D329" s="13" t="s">
        <v>976</v>
      </c>
      <c r="E329" s="13" t="s">
        <v>980</v>
      </c>
      <c r="F329" s="10">
        <v>8</v>
      </c>
      <c r="G329" s="10"/>
      <c r="H329" s="1">
        <v>1158</v>
      </c>
      <c r="I329" s="1">
        <v>988</v>
      </c>
      <c r="J329" s="1">
        <v>988.6</v>
      </c>
      <c r="K329" s="2">
        <v>5.01</v>
      </c>
      <c r="L329">
        <v>988</v>
      </c>
      <c r="M329">
        <v>990</v>
      </c>
      <c r="N329">
        <v>989</v>
      </c>
      <c r="O329">
        <v>988</v>
      </c>
      <c r="P329">
        <v>988</v>
      </c>
      <c r="S329">
        <v>999</v>
      </c>
      <c r="T329">
        <v>1000.8</v>
      </c>
      <c r="U329" s="17">
        <v>14.05622956</v>
      </c>
      <c r="V329" s="60">
        <v>1051</v>
      </c>
      <c r="W329" s="60">
        <v>1052</v>
      </c>
      <c r="X329" s="60">
        <v>1049</v>
      </c>
      <c r="Y329" s="60">
        <v>1047</v>
      </c>
      <c r="Z329" s="60">
        <v>1047</v>
      </c>
    </row>
    <row r="330" spans="1:26" x14ac:dyDescent="0.6">
      <c r="A330" s="6" t="s">
        <v>733</v>
      </c>
      <c r="B330" s="10">
        <v>50</v>
      </c>
      <c r="C330" s="12" t="s">
        <v>970</v>
      </c>
      <c r="D330" s="13" t="s">
        <v>976</v>
      </c>
      <c r="E330" s="13" t="s">
        <v>980</v>
      </c>
      <c r="F330" s="10">
        <v>9</v>
      </c>
      <c r="G330" s="10"/>
      <c r="H330" s="1">
        <v>1239</v>
      </c>
      <c r="I330" s="1">
        <v>954</v>
      </c>
      <c r="J330" s="1">
        <v>954.6</v>
      </c>
      <c r="K330" s="2">
        <v>5.01</v>
      </c>
      <c r="L330">
        <v>955</v>
      </c>
      <c r="M330">
        <v>954</v>
      </c>
      <c r="N330">
        <v>954</v>
      </c>
      <c r="O330">
        <v>955</v>
      </c>
      <c r="P330">
        <v>955</v>
      </c>
      <c r="S330">
        <v>960</v>
      </c>
      <c r="T330">
        <v>964.8</v>
      </c>
      <c r="U330" s="17">
        <v>14.86275444</v>
      </c>
      <c r="V330" s="60">
        <v>1019</v>
      </c>
      <c r="W330" s="60">
        <v>1020</v>
      </c>
      <c r="X330" s="60">
        <v>1017</v>
      </c>
      <c r="Y330" s="60">
        <v>1020</v>
      </c>
      <c r="Z330" s="60">
        <v>1020</v>
      </c>
    </row>
    <row r="331" spans="1:26" x14ac:dyDescent="0.6">
      <c r="A331" s="6" t="s">
        <v>734</v>
      </c>
      <c r="B331" s="10">
        <v>50</v>
      </c>
      <c r="C331" s="12" t="s">
        <v>970</v>
      </c>
      <c r="D331" s="13" t="s">
        <v>976</v>
      </c>
      <c r="E331" s="13" t="s">
        <v>980</v>
      </c>
      <c r="F331" s="10">
        <v>10</v>
      </c>
      <c r="G331" s="10"/>
      <c r="H331" s="1">
        <v>1256</v>
      </c>
      <c r="I331" s="1">
        <v>959</v>
      </c>
      <c r="J331" s="1">
        <v>961</v>
      </c>
      <c r="K331" s="2">
        <v>5</v>
      </c>
      <c r="L331">
        <v>961</v>
      </c>
      <c r="M331">
        <v>963</v>
      </c>
      <c r="N331">
        <v>959</v>
      </c>
      <c r="O331">
        <v>962</v>
      </c>
      <c r="P331">
        <v>960</v>
      </c>
      <c r="S331">
        <v>971</v>
      </c>
      <c r="T331">
        <v>976.6</v>
      </c>
      <c r="U331" s="17">
        <v>15.40191664</v>
      </c>
      <c r="V331" s="60">
        <v>1033</v>
      </c>
      <c r="W331" s="60">
        <v>1040</v>
      </c>
      <c r="X331" s="60">
        <v>1050</v>
      </c>
      <c r="Y331" s="60">
        <v>1039</v>
      </c>
      <c r="Z331" s="60">
        <v>1049</v>
      </c>
    </row>
    <row r="332" spans="1:26" x14ac:dyDescent="0.6">
      <c r="A332" s="6" t="s">
        <v>735</v>
      </c>
      <c r="B332" s="10">
        <v>50</v>
      </c>
      <c r="C332" s="12" t="s">
        <v>970</v>
      </c>
      <c r="D332" s="13" t="s">
        <v>976</v>
      </c>
      <c r="E332" s="13" t="s">
        <v>984</v>
      </c>
      <c r="F332" s="10">
        <v>1</v>
      </c>
      <c r="G332" s="10"/>
      <c r="H332" s="1">
        <v>1375</v>
      </c>
      <c r="I332" s="1">
        <v>984</v>
      </c>
      <c r="J332" s="1">
        <v>985.4</v>
      </c>
      <c r="K332" s="2">
        <v>5.01</v>
      </c>
      <c r="L332">
        <v>985</v>
      </c>
      <c r="M332">
        <v>987</v>
      </c>
      <c r="N332">
        <v>985</v>
      </c>
      <c r="O332">
        <v>984</v>
      </c>
      <c r="P332">
        <v>986</v>
      </c>
      <c r="S332">
        <v>996</v>
      </c>
      <c r="T332">
        <v>999.6</v>
      </c>
      <c r="U332" s="17">
        <v>14.6893627</v>
      </c>
      <c r="V332" s="60">
        <v>1058</v>
      </c>
      <c r="W332" s="60">
        <v>1057</v>
      </c>
      <c r="X332" s="60">
        <v>1059</v>
      </c>
      <c r="Y332" s="60">
        <v>1058</v>
      </c>
      <c r="Z332" s="60">
        <v>1054</v>
      </c>
    </row>
    <row r="333" spans="1:26" x14ac:dyDescent="0.6">
      <c r="A333" s="6" t="s">
        <v>736</v>
      </c>
      <c r="B333" s="10">
        <v>50</v>
      </c>
      <c r="C333" s="12" t="s">
        <v>970</v>
      </c>
      <c r="D333" s="13" t="s">
        <v>976</v>
      </c>
      <c r="E333" s="13" t="s">
        <v>985</v>
      </c>
      <c r="F333" s="10">
        <v>2</v>
      </c>
      <c r="G333" s="10"/>
      <c r="H333" s="1">
        <v>1256</v>
      </c>
      <c r="I333" s="1">
        <v>950</v>
      </c>
      <c r="J333" s="1">
        <v>950.8</v>
      </c>
      <c r="K333" s="2">
        <v>5.01</v>
      </c>
      <c r="L333">
        <v>951</v>
      </c>
      <c r="M333">
        <v>950</v>
      </c>
      <c r="N333">
        <v>952</v>
      </c>
      <c r="O333">
        <v>950</v>
      </c>
      <c r="P333">
        <v>951</v>
      </c>
      <c r="S333">
        <v>961</v>
      </c>
      <c r="T333">
        <v>963.2</v>
      </c>
      <c r="U333" s="17">
        <v>14.76058478</v>
      </c>
      <c r="V333" s="60">
        <v>1008</v>
      </c>
      <c r="W333" s="60">
        <v>1017</v>
      </c>
      <c r="X333" s="60">
        <v>1010</v>
      </c>
      <c r="Y333" s="60">
        <v>1017</v>
      </c>
      <c r="Z333" s="60">
        <v>1012</v>
      </c>
    </row>
    <row r="334" spans="1:26" x14ac:dyDescent="0.6">
      <c r="A334" s="6" t="s">
        <v>737</v>
      </c>
      <c r="B334" s="10">
        <v>50</v>
      </c>
      <c r="C334" s="12" t="s">
        <v>970</v>
      </c>
      <c r="D334" s="13" t="s">
        <v>976</v>
      </c>
      <c r="E334" s="13" t="s">
        <v>982</v>
      </c>
      <c r="F334" s="10">
        <v>3</v>
      </c>
      <c r="G334" s="10"/>
      <c r="H334" s="1">
        <v>1260</v>
      </c>
      <c r="I334" s="1">
        <v>973</v>
      </c>
      <c r="J334" s="1">
        <v>974.8</v>
      </c>
      <c r="K334" s="2">
        <v>5.01</v>
      </c>
      <c r="L334">
        <v>975</v>
      </c>
      <c r="M334">
        <v>976</v>
      </c>
      <c r="N334">
        <v>973</v>
      </c>
      <c r="O334">
        <v>975</v>
      </c>
      <c r="P334">
        <v>975</v>
      </c>
      <c r="S334">
        <v>989</v>
      </c>
      <c r="T334">
        <v>990</v>
      </c>
      <c r="U334" s="17">
        <v>14.39594306</v>
      </c>
      <c r="V334" s="60">
        <v>1045</v>
      </c>
      <c r="W334" s="60">
        <v>1041</v>
      </c>
      <c r="X334" s="60">
        <v>1040</v>
      </c>
      <c r="Y334" s="60">
        <v>1048</v>
      </c>
      <c r="Z334" s="60">
        <v>1044</v>
      </c>
    </row>
    <row r="335" spans="1:26" x14ac:dyDescent="0.6">
      <c r="A335" s="6" t="s">
        <v>738</v>
      </c>
      <c r="B335" s="10">
        <v>50</v>
      </c>
      <c r="C335" s="12" t="s">
        <v>970</v>
      </c>
      <c r="D335" s="13" t="s">
        <v>976</v>
      </c>
      <c r="E335" s="13" t="s">
        <v>982</v>
      </c>
      <c r="F335" s="10">
        <v>4</v>
      </c>
      <c r="G335" s="10"/>
      <c r="H335" s="1">
        <v>1244</v>
      </c>
      <c r="I335" s="1">
        <v>963</v>
      </c>
      <c r="J335" s="1">
        <v>963.8</v>
      </c>
      <c r="K335" s="2">
        <v>5.01</v>
      </c>
      <c r="L335">
        <v>963</v>
      </c>
      <c r="M335">
        <v>963</v>
      </c>
      <c r="N335">
        <v>964</v>
      </c>
      <c r="O335">
        <v>964</v>
      </c>
      <c r="P335">
        <v>965</v>
      </c>
      <c r="S335">
        <v>971</v>
      </c>
      <c r="T335">
        <v>975</v>
      </c>
      <c r="U335" s="17">
        <v>14.29753912</v>
      </c>
      <c r="V335" s="60">
        <v>1024</v>
      </c>
      <c r="W335" s="60">
        <v>1025</v>
      </c>
      <c r="X335" s="60">
        <v>1024</v>
      </c>
      <c r="Y335" s="60">
        <v>1020</v>
      </c>
      <c r="Z335" s="60">
        <v>1026</v>
      </c>
    </row>
    <row r="336" spans="1:26" x14ac:dyDescent="0.6">
      <c r="A336" s="6" t="s">
        <v>739</v>
      </c>
      <c r="B336" s="10">
        <v>50</v>
      </c>
      <c r="C336" s="12" t="s">
        <v>970</v>
      </c>
      <c r="D336" s="13" t="s">
        <v>976</v>
      </c>
      <c r="E336" s="13" t="s">
        <v>982</v>
      </c>
      <c r="F336" s="10">
        <v>5</v>
      </c>
      <c r="G336" s="10"/>
      <c r="H336" s="1">
        <v>1387</v>
      </c>
      <c r="I336" s="1">
        <v>955</v>
      </c>
      <c r="J336" s="1">
        <v>956</v>
      </c>
      <c r="K336" s="2">
        <v>5.01</v>
      </c>
      <c r="L336">
        <v>957</v>
      </c>
      <c r="M336">
        <v>955</v>
      </c>
      <c r="N336">
        <v>955</v>
      </c>
      <c r="O336">
        <v>956</v>
      </c>
      <c r="P336">
        <v>957</v>
      </c>
      <c r="S336">
        <v>969</v>
      </c>
      <c r="T336">
        <v>971</v>
      </c>
      <c r="U336" s="17">
        <v>14.5061669</v>
      </c>
      <c r="V336" s="60">
        <v>1020</v>
      </c>
      <c r="W336" s="60">
        <v>1023</v>
      </c>
      <c r="X336" s="60">
        <v>1014</v>
      </c>
      <c r="Y336" s="60">
        <v>1021</v>
      </c>
      <c r="Z336" s="60">
        <v>1022</v>
      </c>
    </row>
    <row r="337" spans="1:26" x14ac:dyDescent="0.6">
      <c r="A337" s="6" t="s">
        <v>740</v>
      </c>
      <c r="B337" s="10">
        <v>50</v>
      </c>
      <c r="C337" s="12" t="s">
        <v>970</v>
      </c>
      <c r="D337" s="13" t="s">
        <v>976</v>
      </c>
      <c r="E337" s="13" t="s">
        <v>982</v>
      </c>
      <c r="F337" s="10">
        <v>6</v>
      </c>
      <c r="G337" s="10"/>
      <c r="H337" s="1">
        <v>1423</v>
      </c>
      <c r="I337" s="1">
        <v>956</v>
      </c>
      <c r="J337" s="1">
        <v>957.8</v>
      </c>
      <c r="K337" s="2">
        <v>5.01</v>
      </c>
      <c r="L337">
        <v>958</v>
      </c>
      <c r="M337">
        <v>959</v>
      </c>
      <c r="N337">
        <v>957</v>
      </c>
      <c r="O337">
        <v>959</v>
      </c>
      <c r="P337">
        <v>956</v>
      </c>
      <c r="S337">
        <v>969</v>
      </c>
      <c r="T337">
        <v>972.6</v>
      </c>
      <c r="U337" s="17">
        <v>14.749122160000001</v>
      </c>
      <c r="V337" s="60">
        <v>1025</v>
      </c>
      <c r="W337" s="60">
        <v>1023</v>
      </c>
      <c r="X337" s="60">
        <v>1018</v>
      </c>
      <c r="Y337" s="60">
        <v>1027</v>
      </c>
      <c r="Z337" s="60">
        <v>1030</v>
      </c>
    </row>
    <row r="338" spans="1:26" x14ac:dyDescent="0.6">
      <c r="A338" s="6" t="s">
        <v>741</v>
      </c>
      <c r="B338" s="10">
        <v>50</v>
      </c>
      <c r="C338" s="12" t="s">
        <v>970</v>
      </c>
      <c r="D338" s="13" t="s">
        <v>976</v>
      </c>
      <c r="E338" s="13" t="s">
        <v>982</v>
      </c>
      <c r="F338" s="10">
        <v>7</v>
      </c>
      <c r="G338" s="10"/>
      <c r="H338" s="1">
        <v>1403</v>
      </c>
      <c r="I338" s="1">
        <v>970</v>
      </c>
      <c r="J338" s="1">
        <v>970.6</v>
      </c>
      <c r="K338" s="2">
        <v>5.01</v>
      </c>
      <c r="L338">
        <v>970</v>
      </c>
      <c r="M338">
        <v>971</v>
      </c>
      <c r="N338">
        <v>971</v>
      </c>
      <c r="O338">
        <v>970</v>
      </c>
      <c r="P338">
        <v>971</v>
      </c>
      <c r="S338">
        <v>980</v>
      </c>
      <c r="T338">
        <v>985.2</v>
      </c>
      <c r="U338" s="17">
        <v>15.649400760000001</v>
      </c>
      <c r="V338" s="60">
        <v>1055</v>
      </c>
      <c r="W338" s="60">
        <v>1049</v>
      </c>
      <c r="X338" s="60">
        <v>1051</v>
      </c>
      <c r="Y338" s="60">
        <v>1052</v>
      </c>
      <c r="Z338" s="60">
        <v>1050</v>
      </c>
    </row>
    <row r="339" spans="1:26" x14ac:dyDescent="0.6">
      <c r="A339" s="6" t="s">
        <v>742</v>
      </c>
      <c r="B339" s="10">
        <v>50</v>
      </c>
      <c r="C339" s="12" t="s">
        <v>970</v>
      </c>
      <c r="D339" s="13" t="s">
        <v>976</v>
      </c>
      <c r="E339" s="13" t="s">
        <v>982</v>
      </c>
      <c r="F339" s="10">
        <v>8</v>
      </c>
      <c r="G339" s="10"/>
      <c r="H339" s="1">
        <v>1278</v>
      </c>
      <c r="I339" s="1">
        <v>988</v>
      </c>
      <c r="J339" s="1">
        <v>989</v>
      </c>
      <c r="K339" s="2">
        <v>5</v>
      </c>
      <c r="L339">
        <v>990</v>
      </c>
      <c r="M339">
        <v>990</v>
      </c>
      <c r="N339">
        <v>988</v>
      </c>
      <c r="O339">
        <v>989</v>
      </c>
      <c r="P339">
        <v>988</v>
      </c>
      <c r="S339">
        <v>998</v>
      </c>
      <c r="T339">
        <v>1001.4</v>
      </c>
      <c r="U339" s="17">
        <v>14.37096406</v>
      </c>
      <c r="V339" s="60">
        <v>1046</v>
      </c>
      <c r="W339" s="60">
        <v>1052</v>
      </c>
      <c r="X339" s="60">
        <v>1049</v>
      </c>
      <c r="Y339" s="60">
        <v>1048</v>
      </c>
      <c r="Z339" s="60">
        <v>1052</v>
      </c>
    </row>
    <row r="340" spans="1:26" x14ac:dyDescent="0.6">
      <c r="A340" s="6" t="s">
        <v>743</v>
      </c>
      <c r="B340" s="10">
        <v>50</v>
      </c>
      <c r="C340" s="12" t="s">
        <v>970</v>
      </c>
      <c r="D340" s="13" t="s">
        <v>976</v>
      </c>
      <c r="E340" s="13" t="s">
        <v>982</v>
      </c>
      <c r="F340" s="10">
        <v>9</v>
      </c>
      <c r="G340" s="10"/>
      <c r="H340" s="1">
        <v>1459</v>
      </c>
      <c r="I340" s="1">
        <v>955</v>
      </c>
      <c r="J340" s="1">
        <v>955.2</v>
      </c>
      <c r="K340" s="2">
        <v>5.01</v>
      </c>
      <c r="L340">
        <v>955</v>
      </c>
      <c r="M340">
        <v>955</v>
      </c>
      <c r="N340">
        <v>955</v>
      </c>
      <c r="O340">
        <v>955</v>
      </c>
      <c r="P340">
        <v>956</v>
      </c>
      <c r="S340">
        <v>962</v>
      </c>
      <c r="T340">
        <v>967.4</v>
      </c>
      <c r="U340" s="17">
        <v>14.765890260000001</v>
      </c>
      <c r="V340" s="60">
        <v>1020</v>
      </c>
      <c r="W340" s="60">
        <v>1022</v>
      </c>
      <c r="X340" s="60">
        <v>1024</v>
      </c>
      <c r="Y340" s="60">
        <v>1029</v>
      </c>
      <c r="Z340" s="60">
        <v>1021</v>
      </c>
    </row>
    <row r="341" spans="1:26" x14ac:dyDescent="0.6">
      <c r="A341" s="6" t="s">
        <v>744</v>
      </c>
      <c r="B341" s="10">
        <v>50</v>
      </c>
      <c r="C341" s="12" t="s">
        <v>970</v>
      </c>
      <c r="D341" s="13" t="s">
        <v>976</v>
      </c>
      <c r="E341" s="13" t="s">
        <v>982</v>
      </c>
      <c r="F341" s="10">
        <v>10</v>
      </c>
      <c r="G341" s="10"/>
      <c r="H341" s="1">
        <v>1491</v>
      </c>
      <c r="I341" s="1">
        <v>962</v>
      </c>
      <c r="J341" s="1">
        <v>964.4</v>
      </c>
      <c r="K341" s="2">
        <v>5.01</v>
      </c>
      <c r="L341">
        <v>965</v>
      </c>
      <c r="M341">
        <v>962</v>
      </c>
      <c r="N341">
        <v>965</v>
      </c>
      <c r="O341">
        <v>965</v>
      </c>
      <c r="P341">
        <v>965</v>
      </c>
      <c r="S341">
        <v>978</v>
      </c>
      <c r="T341">
        <v>982.2</v>
      </c>
      <c r="U341" s="17">
        <v>15.49312986</v>
      </c>
      <c r="V341" s="60">
        <v>1111</v>
      </c>
      <c r="W341" s="60">
        <v>1114</v>
      </c>
      <c r="X341" s="60">
        <v>1073</v>
      </c>
      <c r="Y341" s="60">
        <v>1110</v>
      </c>
      <c r="Z341" s="60">
        <v>1119</v>
      </c>
    </row>
    <row r="342" spans="1:26" x14ac:dyDescent="0.6">
      <c r="A342" s="6" t="s">
        <v>745</v>
      </c>
      <c r="B342" s="10">
        <v>50</v>
      </c>
      <c r="C342" s="12" t="s">
        <v>970</v>
      </c>
      <c r="D342" s="13" t="s">
        <v>979</v>
      </c>
      <c r="E342" s="13" t="s">
        <v>981</v>
      </c>
      <c r="F342" s="10">
        <v>1</v>
      </c>
      <c r="G342" s="10"/>
      <c r="H342" s="1">
        <v>1395</v>
      </c>
      <c r="I342" s="1">
        <v>1228</v>
      </c>
      <c r="J342" s="1">
        <v>1228.8</v>
      </c>
      <c r="K342" s="2">
        <v>5.01</v>
      </c>
      <c r="L342">
        <v>1229</v>
      </c>
      <c r="M342">
        <v>1228</v>
      </c>
      <c r="N342">
        <v>1229</v>
      </c>
      <c r="O342">
        <v>1229</v>
      </c>
      <c r="P342">
        <v>1229</v>
      </c>
      <c r="S342">
        <v>1237</v>
      </c>
      <c r="T342">
        <v>1244.8</v>
      </c>
      <c r="U342" s="17">
        <v>14.412801200000001</v>
      </c>
      <c r="V342" s="60">
        <v>1288</v>
      </c>
      <c r="W342" s="60">
        <v>1290</v>
      </c>
      <c r="X342" s="60">
        <v>1293</v>
      </c>
      <c r="Y342" s="60">
        <v>1292</v>
      </c>
      <c r="Z342" s="60">
        <v>1287</v>
      </c>
    </row>
    <row r="343" spans="1:26" x14ac:dyDescent="0.6">
      <c r="A343" s="6" t="s">
        <v>746</v>
      </c>
      <c r="B343" s="10">
        <v>50</v>
      </c>
      <c r="C343" s="12" t="s">
        <v>970</v>
      </c>
      <c r="D343" s="13" t="s">
        <v>979</v>
      </c>
      <c r="E343" s="13" t="s">
        <v>983</v>
      </c>
      <c r="F343" s="10">
        <v>2</v>
      </c>
      <c r="G343" s="10"/>
      <c r="H343" s="1">
        <v>1350</v>
      </c>
      <c r="I343" s="1">
        <v>1195</v>
      </c>
      <c r="J343" s="1">
        <v>1195.4000000000001</v>
      </c>
      <c r="K343" s="2">
        <v>5.01</v>
      </c>
      <c r="L343">
        <v>1195</v>
      </c>
      <c r="M343">
        <v>1195</v>
      </c>
      <c r="N343">
        <v>1196</v>
      </c>
      <c r="O343">
        <v>1196</v>
      </c>
      <c r="P343">
        <v>1195</v>
      </c>
      <c r="S343">
        <v>1204</v>
      </c>
      <c r="T343">
        <v>1206</v>
      </c>
      <c r="U343" s="17">
        <v>14.66032628</v>
      </c>
      <c r="V343" s="60">
        <v>1254</v>
      </c>
      <c r="W343" s="60">
        <v>1257</v>
      </c>
      <c r="X343" s="60">
        <v>1258</v>
      </c>
      <c r="Y343" s="60">
        <v>1256</v>
      </c>
      <c r="Z343" s="60">
        <v>1254</v>
      </c>
    </row>
    <row r="344" spans="1:26" x14ac:dyDescent="0.6">
      <c r="A344" s="6" t="s">
        <v>747</v>
      </c>
      <c r="B344" s="10">
        <v>50</v>
      </c>
      <c r="C344" s="12" t="s">
        <v>970</v>
      </c>
      <c r="D344" s="13" t="s">
        <v>978</v>
      </c>
      <c r="E344" s="13" t="s">
        <v>980</v>
      </c>
      <c r="F344" s="10">
        <v>3</v>
      </c>
      <c r="G344" s="10"/>
      <c r="H344" s="1">
        <v>1345</v>
      </c>
      <c r="I344" s="1">
        <v>1218</v>
      </c>
      <c r="J344" s="1">
        <v>1219</v>
      </c>
      <c r="K344" s="2">
        <v>5.01</v>
      </c>
      <c r="L344">
        <v>1219</v>
      </c>
      <c r="M344">
        <v>1218</v>
      </c>
      <c r="N344">
        <v>1219</v>
      </c>
      <c r="O344">
        <v>1220</v>
      </c>
      <c r="P344">
        <v>1219</v>
      </c>
      <c r="S344">
        <v>1230</v>
      </c>
      <c r="T344">
        <v>1232.2</v>
      </c>
      <c r="U344" s="17">
        <v>14.327262940000001</v>
      </c>
      <c r="V344" s="60">
        <v>1280</v>
      </c>
      <c r="W344" s="60">
        <v>1278</v>
      </c>
      <c r="X344" s="60">
        <v>1282</v>
      </c>
      <c r="Y344" s="60">
        <v>1281</v>
      </c>
      <c r="Z344" s="60">
        <v>1283</v>
      </c>
    </row>
    <row r="345" spans="1:26" x14ac:dyDescent="0.6">
      <c r="A345" s="6" t="s">
        <v>748</v>
      </c>
      <c r="B345" s="10">
        <v>50</v>
      </c>
      <c r="C345" s="12" t="s">
        <v>970</v>
      </c>
      <c r="D345" s="13" t="s">
        <v>978</v>
      </c>
      <c r="E345" s="13" t="s">
        <v>980</v>
      </c>
      <c r="F345" s="10">
        <v>4</v>
      </c>
      <c r="G345" s="10"/>
      <c r="H345" s="1">
        <v>1344</v>
      </c>
      <c r="I345" s="1">
        <v>1208</v>
      </c>
      <c r="J345" s="1">
        <v>1208.8</v>
      </c>
      <c r="K345" s="2">
        <v>5</v>
      </c>
      <c r="L345">
        <v>1208</v>
      </c>
      <c r="M345">
        <v>1209</v>
      </c>
      <c r="N345">
        <v>1209</v>
      </c>
      <c r="O345">
        <v>1209</v>
      </c>
      <c r="P345">
        <v>1209</v>
      </c>
      <c r="S345">
        <v>1220</v>
      </c>
      <c r="T345">
        <v>1223</v>
      </c>
      <c r="U345" s="17">
        <v>13.89188072</v>
      </c>
      <c r="V345" s="60">
        <v>1266</v>
      </c>
      <c r="W345" s="60">
        <v>1267</v>
      </c>
      <c r="X345" s="60">
        <v>1263</v>
      </c>
      <c r="Y345" s="60">
        <v>1268</v>
      </c>
      <c r="Z345" s="60">
        <v>1260</v>
      </c>
    </row>
    <row r="346" spans="1:26" x14ac:dyDescent="0.6">
      <c r="A346" s="6" t="s">
        <v>749</v>
      </c>
      <c r="B346" s="10">
        <v>50</v>
      </c>
      <c r="C346" s="12" t="s">
        <v>970</v>
      </c>
      <c r="D346" s="13" t="s">
        <v>978</v>
      </c>
      <c r="E346" s="13" t="s">
        <v>980</v>
      </c>
      <c r="F346" s="10">
        <v>5</v>
      </c>
      <c r="G346" s="10"/>
      <c r="H346" s="1">
        <v>1406</v>
      </c>
      <c r="I346" s="1">
        <v>1200</v>
      </c>
      <c r="J346" s="1">
        <v>1200.4000000000001</v>
      </c>
      <c r="K346" s="2">
        <v>5</v>
      </c>
      <c r="L346">
        <v>1200</v>
      </c>
      <c r="M346">
        <v>1200</v>
      </c>
      <c r="N346">
        <v>1200</v>
      </c>
      <c r="O346">
        <v>1201</v>
      </c>
      <c r="P346">
        <v>1201</v>
      </c>
      <c r="S346">
        <v>1212</v>
      </c>
      <c r="T346">
        <v>1213.8</v>
      </c>
      <c r="U346" s="17">
        <v>14.471027619999999</v>
      </c>
      <c r="V346" s="60">
        <v>1259</v>
      </c>
      <c r="W346" s="60">
        <v>1263</v>
      </c>
      <c r="X346" s="60">
        <v>1262</v>
      </c>
      <c r="Y346" s="60">
        <v>1262</v>
      </c>
      <c r="Z346" s="60">
        <v>1260</v>
      </c>
    </row>
    <row r="347" spans="1:26" x14ac:dyDescent="0.6">
      <c r="A347" s="6" t="s">
        <v>750</v>
      </c>
      <c r="B347" s="10">
        <v>50</v>
      </c>
      <c r="C347" s="12" t="s">
        <v>970</v>
      </c>
      <c r="D347" s="13" t="s">
        <v>978</v>
      </c>
      <c r="E347" s="13" t="s">
        <v>980</v>
      </c>
      <c r="F347" s="10">
        <v>6</v>
      </c>
      <c r="G347" s="10"/>
      <c r="H347" s="1">
        <v>1418</v>
      </c>
      <c r="I347" s="1">
        <v>1202</v>
      </c>
      <c r="J347" s="1">
        <v>1202.8</v>
      </c>
      <c r="K347" s="2">
        <v>5</v>
      </c>
      <c r="L347">
        <v>1203</v>
      </c>
      <c r="M347">
        <v>1202</v>
      </c>
      <c r="N347">
        <v>1204</v>
      </c>
      <c r="O347">
        <v>1203</v>
      </c>
      <c r="P347">
        <v>1202</v>
      </c>
      <c r="S347">
        <v>1215</v>
      </c>
      <c r="T347">
        <v>1219.2</v>
      </c>
      <c r="U347" s="17">
        <v>14.422518139999999</v>
      </c>
      <c r="V347" s="60">
        <v>1264</v>
      </c>
      <c r="W347" s="60">
        <v>1258</v>
      </c>
      <c r="X347" s="60">
        <v>1264</v>
      </c>
      <c r="Y347" s="60">
        <v>1264</v>
      </c>
      <c r="Z347" s="60">
        <v>1263</v>
      </c>
    </row>
    <row r="348" spans="1:26" x14ac:dyDescent="0.6">
      <c r="A348" s="6" t="s">
        <v>751</v>
      </c>
      <c r="B348" s="10">
        <v>50</v>
      </c>
      <c r="C348" s="12" t="s">
        <v>970</v>
      </c>
      <c r="D348" s="13" t="s">
        <v>978</v>
      </c>
      <c r="E348" s="13" t="s">
        <v>980</v>
      </c>
      <c r="F348" s="10">
        <v>7</v>
      </c>
      <c r="G348" s="10"/>
      <c r="H348" s="1">
        <v>1423</v>
      </c>
      <c r="I348" s="1">
        <v>1215</v>
      </c>
      <c r="J348" s="1">
        <v>1216</v>
      </c>
      <c r="K348" s="2">
        <v>5.01</v>
      </c>
      <c r="L348">
        <v>1217</v>
      </c>
      <c r="M348">
        <v>1216</v>
      </c>
      <c r="N348">
        <v>1216</v>
      </c>
      <c r="O348">
        <v>1216</v>
      </c>
      <c r="P348">
        <v>1215</v>
      </c>
      <c r="S348">
        <v>1224</v>
      </c>
      <c r="T348">
        <v>1229.4000000000001</v>
      </c>
      <c r="U348" s="17">
        <v>15.03269774</v>
      </c>
      <c r="V348" s="60">
        <v>1278</v>
      </c>
      <c r="W348" s="60">
        <v>1283</v>
      </c>
      <c r="X348" s="60">
        <v>1286</v>
      </c>
      <c r="Y348" s="60">
        <v>1281</v>
      </c>
      <c r="Z348" s="60">
        <v>1285</v>
      </c>
    </row>
    <row r="349" spans="1:26" x14ac:dyDescent="0.6">
      <c r="A349" s="6" t="s">
        <v>752</v>
      </c>
      <c r="B349" s="10">
        <v>50</v>
      </c>
      <c r="C349" s="12" t="s">
        <v>970</v>
      </c>
      <c r="D349" s="13" t="s">
        <v>978</v>
      </c>
      <c r="E349" s="13" t="s">
        <v>980</v>
      </c>
      <c r="F349" s="10">
        <v>8</v>
      </c>
      <c r="G349" s="10"/>
      <c r="H349" s="1">
        <v>1373</v>
      </c>
      <c r="I349" s="1">
        <v>1233</v>
      </c>
      <c r="J349" s="1">
        <v>1233.8</v>
      </c>
      <c r="K349" s="2">
        <v>5</v>
      </c>
      <c r="L349">
        <v>1234</v>
      </c>
      <c r="M349">
        <v>1233</v>
      </c>
      <c r="N349">
        <v>1235</v>
      </c>
      <c r="O349">
        <v>1233</v>
      </c>
      <c r="P349">
        <v>1234</v>
      </c>
      <c r="S349">
        <v>1244</v>
      </c>
      <c r="T349">
        <v>1246.2</v>
      </c>
      <c r="U349" s="17">
        <v>13.80700934</v>
      </c>
      <c r="V349" s="60">
        <v>1292</v>
      </c>
      <c r="W349" s="60">
        <v>1288</v>
      </c>
      <c r="X349" s="60">
        <v>1286</v>
      </c>
      <c r="Y349" s="60">
        <v>1292</v>
      </c>
      <c r="Z349" s="60">
        <v>1293</v>
      </c>
    </row>
    <row r="350" spans="1:26" x14ac:dyDescent="0.6">
      <c r="A350" s="6" t="s">
        <v>753</v>
      </c>
      <c r="B350" s="10">
        <v>50</v>
      </c>
      <c r="C350" s="12" t="s">
        <v>970</v>
      </c>
      <c r="D350" s="13" t="s">
        <v>978</v>
      </c>
      <c r="E350" s="13" t="s">
        <v>980</v>
      </c>
      <c r="F350" s="10">
        <v>9</v>
      </c>
      <c r="G350" s="10"/>
      <c r="H350" s="1">
        <v>1431</v>
      </c>
      <c r="I350" s="1">
        <v>1198</v>
      </c>
      <c r="J350" s="1">
        <v>1198.5999999999999</v>
      </c>
      <c r="K350" s="2">
        <v>5.01</v>
      </c>
      <c r="L350">
        <v>1198</v>
      </c>
      <c r="M350">
        <v>1199</v>
      </c>
      <c r="N350">
        <v>1199</v>
      </c>
      <c r="O350">
        <v>1198</v>
      </c>
      <c r="P350">
        <v>1199</v>
      </c>
      <c r="S350">
        <v>1211</v>
      </c>
      <c r="T350">
        <v>1214</v>
      </c>
      <c r="U350" s="17">
        <v>13.8332579</v>
      </c>
      <c r="V350" s="60">
        <v>1261</v>
      </c>
      <c r="W350" s="60">
        <v>1258</v>
      </c>
      <c r="X350" s="60">
        <v>1260</v>
      </c>
      <c r="Y350" s="60">
        <v>1261</v>
      </c>
      <c r="Z350" s="60">
        <v>1259</v>
      </c>
    </row>
    <row r="351" spans="1:26" x14ac:dyDescent="0.6">
      <c r="A351" s="6" t="s">
        <v>754</v>
      </c>
      <c r="B351" s="10">
        <v>50</v>
      </c>
      <c r="C351" s="12" t="s">
        <v>970</v>
      </c>
      <c r="D351" s="13" t="s">
        <v>978</v>
      </c>
      <c r="E351" s="13" t="s">
        <v>980</v>
      </c>
      <c r="F351" s="10">
        <v>10</v>
      </c>
      <c r="G351" s="10"/>
      <c r="H351" s="1">
        <v>1451</v>
      </c>
      <c r="I351" s="1">
        <v>1204</v>
      </c>
      <c r="J351" s="1">
        <v>1205.5999999999999</v>
      </c>
      <c r="K351" s="2">
        <v>5.01</v>
      </c>
      <c r="L351">
        <v>1206</v>
      </c>
      <c r="M351">
        <v>1207</v>
      </c>
      <c r="N351">
        <v>1205</v>
      </c>
      <c r="O351">
        <v>1206</v>
      </c>
      <c r="P351">
        <v>1204</v>
      </c>
      <c r="S351">
        <v>1217</v>
      </c>
      <c r="T351">
        <v>1221.2</v>
      </c>
      <c r="U351" s="17">
        <v>15.16270254</v>
      </c>
      <c r="V351" s="60">
        <v>1280</v>
      </c>
      <c r="W351" s="60">
        <v>1269</v>
      </c>
      <c r="X351" s="60">
        <v>1280</v>
      </c>
      <c r="Y351" s="60">
        <v>1271</v>
      </c>
      <c r="Z351" s="60">
        <v>1274</v>
      </c>
    </row>
    <row r="352" spans="1:26" x14ac:dyDescent="0.6">
      <c r="A352" s="6" t="s">
        <v>755</v>
      </c>
      <c r="B352" s="10">
        <v>50</v>
      </c>
      <c r="C352" s="12" t="s">
        <v>970</v>
      </c>
      <c r="D352" s="13" t="s">
        <v>978</v>
      </c>
      <c r="E352" s="13" t="s">
        <v>984</v>
      </c>
      <c r="F352" s="10">
        <v>1</v>
      </c>
      <c r="G352" s="10"/>
      <c r="H352" s="1">
        <v>1575</v>
      </c>
      <c r="I352" s="1">
        <v>1229</v>
      </c>
      <c r="J352" s="1">
        <v>1229.4000000000001</v>
      </c>
      <c r="K352" s="2">
        <v>5.01</v>
      </c>
      <c r="L352">
        <v>1229</v>
      </c>
      <c r="M352">
        <v>1230</v>
      </c>
      <c r="N352">
        <v>1229</v>
      </c>
      <c r="O352">
        <v>1230</v>
      </c>
      <c r="P352">
        <v>1229</v>
      </c>
      <c r="S352">
        <v>1239</v>
      </c>
      <c r="T352">
        <v>1242.4000000000001</v>
      </c>
      <c r="U352" s="17">
        <v>14.362794620000001</v>
      </c>
      <c r="V352" s="60">
        <v>1300</v>
      </c>
      <c r="W352" s="60">
        <v>1297</v>
      </c>
      <c r="X352" s="60">
        <v>1301</v>
      </c>
      <c r="Y352" s="60">
        <v>1302</v>
      </c>
      <c r="Z352" s="60">
        <v>1300</v>
      </c>
    </row>
    <row r="353" spans="1:26" x14ac:dyDescent="0.6">
      <c r="A353" s="6" t="s">
        <v>756</v>
      </c>
      <c r="B353" s="10">
        <v>50</v>
      </c>
      <c r="C353" s="12" t="s">
        <v>970</v>
      </c>
      <c r="D353" s="13" t="s">
        <v>978</v>
      </c>
      <c r="E353" s="13" t="s">
        <v>985</v>
      </c>
      <c r="F353" s="10">
        <v>2</v>
      </c>
      <c r="G353" s="10"/>
      <c r="H353" s="1">
        <v>1470</v>
      </c>
      <c r="I353" s="1">
        <v>1195</v>
      </c>
      <c r="J353" s="1">
        <v>1196</v>
      </c>
      <c r="K353" s="2">
        <v>5.01</v>
      </c>
      <c r="L353">
        <v>1197</v>
      </c>
      <c r="M353">
        <v>1196</v>
      </c>
      <c r="N353">
        <v>1196</v>
      </c>
      <c r="O353">
        <v>1196</v>
      </c>
      <c r="P353">
        <v>1195</v>
      </c>
      <c r="S353">
        <v>1203</v>
      </c>
      <c r="T353">
        <v>1208</v>
      </c>
      <c r="U353" s="17">
        <v>14.218870259999999</v>
      </c>
      <c r="V353" s="60">
        <v>1252</v>
      </c>
      <c r="W353" s="60">
        <v>1260</v>
      </c>
      <c r="X353" s="60">
        <v>1252</v>
      </c>
      <c r="Y353" s="60">
        <v>1262</v>
      </c>
      <c r="Z353" s="60">
        <v>1261</v>
      </c>
    </row>
    <row r="354" spans="1:26" x14ac:dyDescent="0.6">
      <c r="A354" s="6" t="s">
        <v>757</v>
      </c>
      <c r="B354" s="10">
        <v>50</v>
      </c>
      <c r="C354" s="12" t="s">
        <v>970</v>
      </c>
      <c r="D354" s="13" t="s">
        <v>978</v>
      </c>
      <c r="E354" s="13" t="s">
        <v>982</v>
      </c>
      <c r="F354" s="10">
        <v>3</v>
      </c>
      <c r="G354" s="10"/>
      <c r="H354" s="1">
        <v>1465</v>
      </c>
      <c r="I354" s="1">
        <v>1218</v>
      </c>
      <c r="J354" s="1">
        <v>1219.2</v>
      </c>
      <c r="K354" s="2">
        <v>5.01</v>
      </c>
      <c r="L354">
        <v>1219</v>
      </c>
      <c r="M354">
        <v>1218</v>
      </c>
      <c r="N354">
        <v>1219</v>
      </c>
      <c r="O354">
        <v>1220</v>
      </c>
      <c r="P354">
        <v>1220</v>
      </c>
      <c r="S354">
        <v>1230</v>
      </c>
      <c r="T354">
        <v>1231.5999999999999</v>
      </c>
      <c r="U354" s="17">
        <v>14.22750096</v>
      </c>
      <c r="V354" s="60">
        <v>1284</v>
      </c>
      <c r="W354" s="60">
        <v>1282</v>
      </c>
      <c r="X354" s="60">
        <v>1290</v>
      </c>
      <c r="Y354" s="60">
        <v>1285</v>
      </c>
      <c r="Z354" s="60">
        <v>1279</v>
      </c>
    </row>
    <row r="355" spans="1:26" x14ac:dyDescent="0.6">
      <c r="A355" s="6" t="s">
        <v>758</v>
      </c>
      <c r="B355" s="10">
        <v>50</v>
      </c>
      <c r="C355" s="12" t="s">
        <v>970</v>
      </c>
      <c r="D355" s="13" t="s">
        <v>978</v>
      </c>
      <c r="E355" s="13" t="s">
        <v>982</v>
      </c>
      <c r="F355" s="10">
        <v>4</v>
      </c>
      <c r="G355" s="10"/>
      <c r="H355" s="1">
        <v>1451</v>
      </c>
      <c r="I355" s="1">
        <v>1208</v>
      </c>
      <c r="J355" s="1">
        <v>1208.8</v>
      </c>
      <c r="K355" s="2">
        <v>5.01</v>
      </c>
      <c r="L355">
        <v>1208</v>
      </c>
      <c r="M355">
        <v>1210</v>
      </c>
      <c r="N355">
        <v>1209</v>
      </c>
      <c r="O355">
        <v>1209</v>
      </c>
      <c r="P355">
        <v>1208</v>
      </c>
      <c r="S355">
        <v>1216</v>
      </c>
      <c r="T355">
        <v>1220.8</v>
      </c>
      <c r="U355" s="17">
        <v>13.9431444</v>
      </c>
      <c r="V355" s="60">
        <v>1269</v>
      </c>
      <c r="W355" s="60">
        <v>1271</v>
      </c>
      <c r="X355" s="60">
        <v>1273</v>
      </c>
      <c r="Y355" s="60">
        <v>1268</v>
      </c>
      <c r="Z355" s="60">
        <v>1271</v>
      </c>
    </row>
    <row r="356" spans="1:26" x14ac:dyDescent="0.6">
      <c r="A356" s="6" t="s">
        <v>759</v>
      </c>
      <c r="B356" s="10">
        <v>50</v>
      </c>
      <c r="C356" s="12" t="s">
        <v>970</v>
      </c>
      <c r="D356" s="13" t="s">
        <v>978</v>
      </c>
      <c r="E356" s="13" t="s">
        <v>982</v>
      </c>
      <c r="F356" s="10">
        <v>5</v>
      </c>
      <c r="G356" s="10"/>
      <c r="H356" s="1">
        <v>1568</v>
      </c>
      <c r="I356" s="1">
        <v>1201</v>
      </c>
      <c r="J356" s="1">
        <v>1201.4000000000001</v>
      </c>
      <c r="K356" s="2">
        <v>5.01</v>
      </c>
      <c r="L356">
        <v>1201</v>
      </c>
      <c r="M356">
        <v>1202</v>
      </c>
      <c r="N356">
        <v>1201</v>
      </c>
      <c r="O356">
        <v>1202</v>
      </c>
      <c r="P356">
        <v>1201</v>
      </c>
      <c r="S356">
        <v>1205</v>
      </c>
      <c r="T356">
        <v>1210.4000000000001</v>
      </c>
      <c r="U356" s="17">
        <v>14.116164400000001</v>
      </c>
      <c r="V356" s="60">
        <v>1258</v>
      </c>
      <c r="W356" s="60">
        <v>1265</v>
      </c>
      <c r="X356" s="60">
        <v>1257</v>
      </c>
      <c r="Y356" s="60">
        <v>1265</v>
      </c>
      <c r="Z356" s="60">
        <v>1266</v>
      </c>
    </row>
    <row r="357" spans="1:26" x14ac:dyDescent="0.6">
      <c r="A357" s="6" t="s">
        <v>760</v>
      </c>
      <c r="B357" s="10">
        <v>50</v>
      </c>
      <c r="C357" s="12" t="s">
        <v>970</v>
      </c>
      <c r="D357" s="13" t="s">
        <v>978</v>
      </c>
      <c r="E357" s="13" t="s">
        <v>982</v>
      </c>
      <c r="F357" s="10">
        <v>6</v>
      </c>
      <c r="G357" s="10"/>
      <c r="H357" s="1">
        <v>1618</v>
      </c>
      <c r="I357" s="1">
        <v>1203</v>
      </c>
      <c r="J357" s="1">
        <v>1203.4000000000001</v>
      </c>
      <c r="K357" s="2">
        <v>5.01</v>
      </c>
      <c r="L357">
        <v>1203</v>
      </c>
      <c r="M357">
        <v>1203</v>
      </c>
      <c r="N357">
        <v>1204</v>
      </c>
      <c r="O357">
        <v>1204</v>
      </c>
      <c r="P357">
        <v>1203</v>
      </c>
      <c r="S357">
        <v>1213</v>
      </c>
      <c r="T357">
        <v>1215.2</v>
      </c>
      <c r="U357" s="17">
        <v>14.179556120000001</v>
      </c>
      <c r="V357" s="60">
        <v>1269</v>
      </c>
      <c r="W357" s="60">
        <v>1269</v>
      </c>
      <c r="X357" s="60">
        <v>1264</v>
      </c>
      <c r="Y357" s="60">
        <v>1262</v>
      </c>
      <c r="Z357" s="60">
        <v>1265</v>
      </c>
    </row>
    <row r="358" spans="1:26" x14ac:dyDescent="0.6">
      <c r="A358" s="6" t="s">
        <v>761</v>
      </c>
      <c r="B358" s="10">
        <v>50</v>
      </c>
      <c r="C358" s="12" t="s">
        <v>970</v>
      </c>
      <c r="D358" s="13" t="s">
        <v>978</v>
      </c>
      <c r="E358" s="13" t="s">
        <v>982</v>
      </c>
      <c r="F358" s="10">
        <v>7</v>
      </c>
      <c r="G358" s="10"/>
      <c r="H358" s="1">
        <v>1603</v>
      </c>
      <c r="I358" s="1">
        <v>1216</v>
      </c>
      <c r="J358" s="1">
        <v>1216.8</v>
      </c>
      <c r="K358" s="2">
        <v>5.01</v>
      </c>
      <c r="L358">
        <v>1217</v>
      </c>
      <c r="M358">
        <v>1216</v>
      </c>
      <c r="N358">
        <v>1217</v>
      </c>
      <c r="O358">
        <v>1217</v>
      </c>
      <c r="P358">
        <v>1217</v>
      </c>
      <c r="S358">
        <v>1225</v>
      </c>
      <c r="T358">
        <v>1228</v>
      </c>
      <c r="U358" s="17">
        <v>14.776117040000001</v>
      </c>
      <c r="V358" s="60">
        <v>1290</v>
      </c>
      <c r="W358" s="60">
        <v>1293</v>
      </c>
      <c r="X358" s="60">
        <v>1289</v>
      </c>
      <c r="Y358" s="60">
        <v>1288</v>
      </c>
      <c r="Z358" s="60">
        <v>1283</v>
      </c>
    </row>
    <row r="359" spans="1:26" x14ac:dyDescent="0.6">
      <c r="A359" s="6" t="s">
        <v>762</v>
      </c>
      <c r="B359" s="10">
        <v>50</v>
      </c>
      <c r="C359" s="12" t="s">
        <v>970</v>
      </c>
      <c r="D359" s="13" t="s">
        <v>978</v>
      </c>
      <c r="E359" s="13" t="s">
        <v>982</v>
      </c>
      <c r="F359" s="10">
        <v>8</v>
      </c>
      <c r="G359" s="10"/>
      <c r="H359" s="1">
        <v>1493</v>
      </c>
      <c r="I359" s="1">
        <v>1233</v>
      </c>
      <c r="J359" s="1">
        <v>1233.5999999999999</v>
      </c>
      <c r="K359" s="2">
        <v>5.01</v>
      </c>
      <c r="L359">
        <v>1234</v>
      </c>
      <c r="M359">
        <v>1234</v>
      </c>
      <c r="N359">
        <v>1233</v>
      </c>
      <c r="O359">
        <v>1234</v>
      </c>
      <c r="P359">
        <v>1233</v>
      </c>
      <c r="S359">
        <v>1240</v>
      </c>
      <c r="T359">
        <v>1245.4000000000001</v>
      </c>
      <c r="U359" s="17">
        <v>13.512138139999999</v>
      </c>
      <c r="V359" s="60">
        <v>1294</v>
      </c>
      <c r="W359" s="60">
        <v>1293</v>
      </c>
      <c r="X359" s="60">
        <v>1297</v>
      </c>
      <c r="Y359" s="60">
        <v>1289</v>
      </c>
      <c r="Z359" s="60">
        <v>1299</v>
      </c>
    </row>
    <row r="360" spans="1:26" x14ac:dyDescent="0.6">
      <c r="A360" s="6" t="s">
        <v>763</v>
      </c>
      <c r="B360" s="10">
        <v>50</v>
      </c>
      <c r="C360" s="12" t="s">
        <v>970</v>
      </c>
      <c r="D360" s="13" t="s">
        <v>978</v>
      </c>
      <c r="E360" s="13" t="s">
        <v>982</v>
      </c>
      <c r="F360" s="10">
        <v>9</v>
      </c>
      <c r="G360" s="10"/>
      <c r="H360" s="1">
        <v>1639</v>
      </c>
      <c r="I360" s="1">
        <v>1198</v>
      </c>
      <c r="J360" s="1">
        <v>1199.2</v>
      </c>
      <c r="K360" s="2">
        <v>5.01</v>
      </c>
      <c r="L360">
        <v>1200</v>
      </c>
      <c r="M360">
        <v>1199</v>
      </c>
      <c r="N360">
        <v>1199</v>
      </c>
      <c r="O360">
        <v>1198</v>
      </c>
      <c r="P360">
        <v>1200</v>
      </c>
      <c r="S360">
        <v>1206</v>
      </c>
      <c r="T360">
        <v>1210.4000000000001</v>
      </c>
      <c r="U360" s="17">
        <v>14.780947100000001</v>
      </c>
      <c r="V360" s="60">
        <v>1265</v>
      </c>
      <c r="W360" s="60">
        <v>1267</v>
      </c>
      <c r="X360" s="60">
        <v>1265</v>
      </c>
      <c r="Y360" s="60">
        <v>1254</v>
      </c>
      <c r="Z360" s="60">
        <v>1271</v>
      </c>
    </row>
    <row r="361" spans="1:26" x14ac:dyDescent="0.6">
      <c r="A361" s="6" t="s">
        <v>764</v>
      </c>
      <c r="B361" s="10">
        <v>50</v>
      </c>
      <c r="C361" s="12" t="s">
        <v>970</v>
      </c>
      <c r="D361" s="13" t="s">
        <v>978</v>
      </c>
      <c r="E361" s="13" t="s">
        <v>982</v>
      </c>
      <c r="F361" s="10">
        <v>10</v>
      </c>
      <c r="G361" s="10"/>
      <c r="H361" s="1">
        <v>1666</v>
      </c>
      <c r="I361" s="1">
        <v>1206</v>
      </c>
      <c r="J361" s="1">
        <v>1207.5999999999999</v>
      </c>
      <c r="K361" s="2">
        <v>5.01</v>
      </c>
      <c r="L361">
        <v>1206</v>
      </c>
      <c r="M361">
        <v>1207</v>
      </c>
      <c r="N361">
        <v>1208</v>
      </c>
      <c r="O361">
        <v>1208</v>
      </c>
      <c r="P361">
        <v>1209</v>
      </c>
      <c r="S361">
        <v>1217</v>
      </c>
      <c r="T361">
        <v>1221</v>
      </c>
      <c r="U361" s="17">
        <v>15.16035694</v>
      </c>
      <c r="V361" s="60">
        <v>1325</v>
      </c>
      <c r="W361" s="60">
        <v>1305</v>
      </c>
      <c r="X361" s="60">
        <v>1308</v>
      </c>
      <c r="Y361" s="60">
        <v>1308</v>
      </c>
      <c r="Z361" s="60">
        <v>1322</v>
      </c>
    </row>
    <row r="362" spans="1:26" x14ac:dyDescent="0.6">
      <c r="A362" s="6" t="s">
        <v>765</v>
      </c>
      <c r="B362" s="10">
        <v>50</v>
      </c>
      <c r="C362" s="13" t="s">
        <v>974</v>
      </c>
      <c r="D362" s="13" t="s">
        <v>977</v>
      </c>
      <c r="E362" s="13" t="s">
        <v>981</v>
      </c>
      <c r="F362" s="10">
        <v>1</v>
      </c>
      <c r="G362" s="10"/>
      <c r="H362" s="1">
        <v>1695</v>
      </c>
      <c r="I362" s="1">
        <v>1482</v>
      </c>
      <c r="J362" s="1">
        <v>1483.4</v>
      </c>
      <c r="K362" s="2">
        <v>5.01</v>
      </c>
      <c r="L362">
        <v>1485</v>
      </c>
      <c r="M362">
        <v>1482</v>
      </c>
      <c r="N362">
        <v>1483</v>
      </c>
      <c r="O362">
        <v>1484</v>
      </c>
      <c r="P362">
        <v>1483</v>
      </c>
      <c r="S362">
        <v>1497</v>
      </c>
      <c r="T362">
        <v>1499.4</v>
      </c>
      <c r="U362" s="17">
        <v>13.76712674</v>
      </c>
      <c r="V362" s="60">
        <v>1546</v>
      </c>
      <c r="W362" s="60">
        <v>1548</v>
      </c>
      <c r="X362" s="60">
        <v>1544</v>
      </c>
      <c r="Y362" s="60">
        <v>1545</v>
      </c>
      <c r="Z362" s="60">
        <v>1545</v>
      </c>
    </row>
    <row r="363" spans="1:26" x14ac:dyDescent="0.6">
      <c r="A363" s="6" t="s">
        <v>766</v>
      </c>
      <c r="B363" s="10">
        <v>50</v>
      </c>
      <c r="C363" s="13" t="s">
        <v>975</v>
      </c>
      <c r="D363" s="13" t="s">
        <v>977</v>
      </c>
      <c r="E363" s="13" t="s">
        <v>983</v>
      </c>
      <c r="F363" s="10">
        <v>2</v>
      </c>
      <c r="G363" s="10"/>
      <c r="H363" s="1">
        <v>1635</v>
      </c>
      <c r="I363" s="1">
        <v>1450</v>
      </c>
      <c r="J363" s="1">
        <v>1450.4</v>
      </c>
      <c r="K363" s="2">
        <v>5</v>
      </c>
      <c r="L363">
        <v>1450</v>
      </c>
      <c r="M363">
        <v>1450</v>
      </c>
      <c r="N363">
        <v>1451</v>
      </c>
      <c r="O363">
        <v>1451</v>
      </c>
      <c r="P363">
        <v>1450</v>
      </c>
      <c r="S363">
        <v>1461</v>
      </c>
      <c r="T363">
        <v>1463</v>
      </c>
      <c r="U363" s="17">
        <v>13.564457239999999</v>
      </c>
      <c r="V363" s="60">
        <v>1509</v>
      </c>
      <c r="W363" s="60">
        <v>1512</v>
      </c>
      <c r="X363" s="60">
        <v>1512</v>
      </c>
      <c r="Y363" s="60">
        <v>1510</v>
      </c>
      <c r="Z363" s="60">
        <v>1512</v>
      </c>
    </row>
    <row r="364" spans="1:26" x14ac:dyDescent="0.6">
      <c r="A364" s="6" t="s">
        <v>767</v>
      </c>
      <c r="B364" s="10">
        <v>50</v>
      </c>
      <c r="C364" s="13" t="s">
        <v>973</v>
      </c>
      <c r="D364" s="13" t="s">
        <v>976</v>
      </c>
      <c r="E364" s="13" t="s">
        <v>980</v>
      </c>
      <c r="F364" s="10">
        <v>3</v>
      </c>
      <c r="G364" s="10"/>
      <c r="H364" s="1">
        <v>1620</v>
      </c>
      <c r="I364" s="1">
        <v>1473</v>
      </c>
      <c r="J364" s="1">
        <v>1473.6</v>
      </c>
      <c r="K364" s="2">
        <v>5.01</v>
      </c>
      <c r="L364">
        <v>1474</v>
      </c>
      <c r="M364">
        <v>1473</v>
      </c>
      <c r="N364">
        <v>1474</v>
      </c>
      <c r="O364">
        <v>1473</v>
      </c>
      <c r="P364">
        <v>1474</v>
      </c>
      <c r="S364">
        <v>1484</v>
      </c>
      <c r="T364">
        <v>1488.2</v>
      </c>
      <c r="U364" s="17">
        <v>13.777963700000001</v>
      </c>
      <c r="V364" s="60">
        <v>1534</v>
      </c>
      <c r="W364" s="60">
        <v>1534</v>
      </c>
      <c r="X364" s="60">
        <v>1533</v>
      </c>
      <c r="Y364" s="60">
        <v>1536</v>
      </c>
      <c r="Z364" s="60">
        <v>1534</v>
      </c>
    </row>
    <row r="365" spans="1:26" x14ac:dyDescent="0.6">
      <c r="A365" s="6" t="s">
        <v>768</v>
      </c>
      <c r="B365" s="10">
        <v>50</v>
      </c>
      <c r="C365" s="13" t="s">
        <v>973</v>
      </c>
      <c r="D365" s="13" t="s">
        <v>976</v>
      </c>
      <c r="E365" s="13" t="s">
        <v>980</v>
      </c>
      <c r="F365" s="10">
        <v>4</v>
      </c>
      <c r="G365" s="10"/>
      <c r="H365" s="1">
        <v>1624</v>
      </c>
      <c r="I365" s="1">
        <v>1463</v>
      </c>
      <c r="J365" s="1">
        <v>1463.8</v>
      </c>
      <c r="K365" s="2">
        <v>5.01</v>
      </c>
      <c r="L365">
        <v>1463</v>
      </c>
      <c r="M365">
        <v>1464</v>
      </c>
      <c r="N365">
        <v>1464</v>
      </c>
      <c r="O365">
        <v>1464</v>
      </c>
      <c r="P365">
        <v>1464</v>
      </c>
      <c r="S365">
        <v>1471</v>
      </c>
      <c r="T365">
        <v>1475.2</v>
      </c>
      <c r="U365" s="17">
        <v>13.68513516</v>
      </c>
      <c r="V365" s="60">
        <v>1519</v>
      </c>
      <c r="W365" s="60">
        <v>1523</v>
      </c>
      <c r="X365" s="60">
        <v>1521</v>
      </c>
      <c r="Y365" s="60">
        <v>1521</v>
      </c>
      <c r="Z365" s="60">
        <v>1518</v>
      </c>
    </row>
    <row r="366" spans="1:26" x14ac:dyDescent="0.6">
      <c r="A366" s="6" t="s">
        <v>769</v>
      </c>
      <c r="B366" s="10">
        <v>50</v>
      </c>
      <c r="C366" s="13" t="s">
        <v>973</v>
      </c>
      <c r="D366" s="13" t="s">
        <v>976</v>
      </c>
      <c r="E366" s="13" t="s">
        <v>980</v>
      </c>
      <c r="F366" s="10">
        <v>5</v>
      </c>
      <c r="G366" s="10"/>
      <c r="H366" s="1">
        <v>1696</v>
      </c>
      <c r="I366" s="1">
        <v>1454</v>
      </c>
      <c r="J366" s="1">
        <v>1455.4</v>
      </c>
      <c r="K366" s="2">
        <v>5.01</v>
      </c>
      <c r="L366">
        <v>1456</v>
      </c>
      <c r="M366">
        <v>1454</v>
      </c>
      <c r="N366">
        <v>1455</v>
      </c>
      <c r="O366">
        <v>1456</v>
      </c>
      <c r="P366">
        <v>1456</v>
      </c>
      <c r="S366">
        <v>1466</v>
      </c>
      <c r="T366">
        <v>1467.4</v>
      </c>
      <c r="U366" s="17">
        <v>13.62088426</v>
      </c>
      <c r="V366" s="60">
        <v>1517</v>
      </c>
      <c r="W366" s="60">
        <v>1513</v>
      </c>
      <c r="X366" s="60">
        <v>1514</v>
      </c>
      <c r="Y366" s="60">
        <v>1517</v>
      </c>
      <c r="Z366" s="60">
        <v>1515</v>
      </c>
    </row>
    <row r="367" spans="1:26" x14ac:dyDescent="0.6">
      <c r="A367" s="6" t="s">
        <v>770</v>
      </c>
      <c r="B367" s="10">
        <v>50</v>
      </c>
      <c r="C367" s="13" t="s">
        <v>973</v>
      </c>
      <c r="D367" s="13" t="s">
        <v>976</v>
      </c>
      <c r="E367" s="13" t="s">
        <v>980</v>
      </c>
      <c r="F367" s="10">
        <v>6</v>
      </c>
      <c r="G367" s="10"/>
      <c r="H367" s="1">
        <v>1723</v>
      </c>
      <c r="I367" s="1">
        <v>1457</v>
      </c>
      <c r="J367" s="1">
        <v>1458</v>
      </c>
      <c r="K367" s="2">
        <v>5</v>
      </c>
      <c r="L367">
        <v>1458</v>
      </c>
      <c r="M367">
        <v>1458</v>
      </c>
      <c r="N367">
        <v>1459</v>
      </c>
      <c r="O367">
        <v>1458</v>
      </c>
      <c r="P367">
        <v>1457</v>
      </c>
      <c r="S367">
        <v>1467</v>
      </c>
      <c r="T367">
        <v>1472.2</v>
      </c>
      <c r="U367" s="17">
        <v>13.77634202</v>
      </c>
      <c r="V367" s="60">
        <v>1519</v>
      </c>
      <c r="W367" s="60">
        <v>1510</v>
      </c>
      <c r="X367" s="60">
        <v>1519</v>
      </c>
      <c r="Y367" s="60">
        <v>1519</v>
      </c>
      <c r="Z367" s="60">
        <v>1518</v>
      </c>
    </row>
    <row r="368" spans="1:26" x14ac:dyDescent="0.6">
      <c r="A368" s="6" t="s">
        <v>771</v>
      </c>
      <c r="B368" s="10">
        <v>50</v>
      </c>
      <c r="C368" s="13" t="s">
        <v>973</v>
      </c>
      <c r="D368" s="13" t="s">
        <v>976</v>
      </c>
      <c r="E368" s="13" t="s">
        <v>980</v>
      </c>
      <c r="F368" s="10">
        <v>7</v>
      </c>
      <c r="G368" s="10"/>
      <c r="H368" s="1">
        <v>1723</v>
      </c>
      <c r="I368" s="1">
        <v>1470</v>
      </c>
      <c r="J368" s="1">
        <v>1470.8</v>
      </c>
      <c r="K368" s="2">
        <v>5.01</v>
      </c>
      <c r="L368">
        <v>1471</v>
      </c>
      <c r="M368">
        <v>1471</v>
      </c>
      <c r="N368">
        <v>1471</v>
      </c>
      <c r="O368">
        <v>1471</v>
      </c>
      <c r="P368">
        <v>1470</v>
      </c>
      <c r="S368">
        <v>1482</v>
      </c>
      <c r="T368">
        <v>1486.6</v>
      </c>
      <c r="U368" s="17">
        <v>14.818346399999999</v>
      </c>
      <c r="V368" s="60">
        <v>1541</v>
      </c>
      <c r="W368" s="60">
        <v>1531</v>
      </c>
      <c r="X368" s="60">
        <v>1541</v>
      </c>
      <c r="Y368" s="60">
        <v>1528</v>
      </c>
      <c r="Z368" s="60">
        <v>1540</v>
      </c>
    </row>
    <row r="369" spans="1:26" x14ac:dyDescent="0.6">
      <c r="A369" s="6" t="s">
        <v>772</v>
      </c>
      <c r="B369" s="10">
        <v>50</v>
      </c>
      <c r="C369" s="13" t="s">
        <v>973</v>
      </c>
      <c r="D369" s="13" t="s">
        <v>976</v>
      </c>
      <c r="E369" s="13" t="s">
        <v>980</v>
      </c>
      <c r="F369" s="10">
        <v>8</v>
      </c>
      <c r="G369" s="10"/>
      <c r="H369" s="1">
        <v>1658</v>
      </c>
      <c r="I369" s="1">
        <v>1487</v>
      </c>
      <c r="J369" s="1">
        <v>1488.4</v>
      </c>
      <c r="K369" s="2">
        <v>5.01</v>
      </c>
      <c r="L369">
        <v>1489</v>
      </c>
      <c r="M369">
        <v>1488</v>
      </c>
      <c r="N369">
        <v>1490</v>
      </c>
      <c r="O369">
        <v>1488</v>
      </c>
      <c r="P369">
        <v>1487</v>
      </c>
      <c r="S369">
        <v>1498</v>
      </c>
      <c r="T369">
        <v>1505.8</v>
      </c>
      <c r="U369" s="17">
        <v>13.04811874</v>
      </c>
      <c r="V369" s="60">
        <v>1545</v>
      </c>
      <c r="W369" s="60">
        <v>1547</v>
      </c>
      <c r="X369" s="60">
        <v>1548</v>
      </c>
      <c r="Y369" s="60">
        <v>1545</v>
      </c>
      <c r="Z369" s="60">
        <v>1548</v>
      </c>
    </row>
    <row r="370" spans="1:26" x14ac:dyDescent="0.6">
      <c r="A370" s="6" t="s">
        <v>773</v>
      </c>
      <c r="B370" s="10">
        <v>50</v>
      </c>
      <c r="C370" s="13" t="s">
        <v>973</v>
      </c>
      <c r="D370" s="13" t="s">
        <v>976</v>
      </c>
      <c r="E370" s="13" t="s">
        <v>980</v>
      </c>
      <c r="F370" s="10">
        <v>9</v>
      </c>
      <c r="G370" s="10"/>
      <c r="H370" s="1">
        <v>1731</v>
      </c>
      <c r="I370" s="1">
        <v>1453</v>
      </c>
      <c r="J370" s="1">
        <v>1453.6</v>
      </c>
      <c r="K370" s="2">
        <v>5.01</v>
      </c>
      <c r="L370">
        <v>1453</v>
      </c>
      <c r="M370">
        <v>1454</v>
      </c>
      <c r="N370">
        <v>1454</v>
      </c>
      <c r="O370">
        <v>1453</v>
      </c>
      <c r="P370">
        <v>1454</v>
      </c>
      <c r="S370">
        <v>1466</v>
      </c>
      <c r="T370">
        <v>1468</v>
      </c>
      <c r="U370" s="17">
        <v>13.86518002</v>
      </c>
      <c r="V370" s="60">
        <v>1518</v>
      </c>
      <c r="W370" s="60">
        <v>1515</v>
      </c>
      <c r="X370" s="60">
        <v>1512</v>
      </c>
      <c r="Y370" s="60">
        <v>1515</v>
      </c>
      <c r="Z370" s="60">
        <v>1513</v>
      </c>
    </row>
    <row r="371" spans="1:26" x14ac:dyDescent="0.6">
      <c r="A371" s="6" t="s">
        <v>774</v>
      </c>
      <c r="B371" s="10">
        <v>50</v>
      </c>
      <c r="C371" s="13" t="s">
        <v>973</v>
      </c>
      <c r="D371" s="13" t="s">
        <v>976</v>
      </c>
      <c r="E371" s="13" t="s">
        <v>980</v>
      </c>
      <c r="F371" s="10">
        <v>10</v>
      </c>
      <c r="G371" s="10"/>
      <c r="H371" s="1">
        <v>1756</v>
      </c>
      <c r="I371" s="1">
        <v>1459</v>
      </c>
      <c r="J371" s="1">
        <v>1460.6</v>
      </c>
      <c r="K371" s="2">
        <v>5</v>
      </c>
      <c r="L371">
        <v>1461</v>
      </c>
      <c r="M371">
        <v>1462</v>
      </c>
      <c r="N371">
        <v>1460</v>
      </c>
      <c r="O371">
        <v>1461</v>
      </c>
      <c r="P371">
        <v>1459</v>
      </c>
      <c r="S371">
        <v>1470</v>
      </c>
      <c r="T371">
        <v>1475</v>
      </c>
      <c r="U371" s="17">
        <v>15.102010140000001</v>
      </c>
      <c r="V371" s="60">
        <v>1534</v>
      </c>
      <c r="W371" s="60">
        <v>1532</v>
      </c>
      <c r="X371" s="60">
        <v>1534</v>
      </c>
      <c r="Y371" s="60">
        <v>1527</v>
      </c>
      <c r="Z371" s="60">
        <v>1528</v>
      </c>
    </row>
    <row r="372" spans="1:26" x14ac:dyDescent="0.6">
      <c r="A372" s="6" t="s">
        <v>775</v>
      </c>
      <c r="B372" s="10">
        <v>50</v>
      </c>
      <c r="C372" s="13" t="s">
        <v>973</v>
      </c>
      <c r="D372" s="13" t="s">
        <v>976</v>
      </c>
      <c r="E372" s="13" t="s">
        <v>984</v>
      </c>
      <c r="F372" s="10">
        <v>1</v>
      </c>
      <c r="G372" s="10"/>
      <c r="H372" s="1">
        <v>1875</v>
      </c>
      <c r="I372" s="1">
        <v>1484</v>
      </c>
      <c r="J372" s="1">
        <v>1484.6</v>
      </c>
      <c r="K372" s="2">
        <v>5.01</v>
      </c>
      <c r="L372">
        <v>1484</v>
      </c>
      <c r="M372">
        <v>1485</v>
      </c>
      <c r="N372">
        <v>1484</v>
      </c>
      <c r="O372">
        <v>1486</v>
      </c>
      <c r="P372">
        <v>1484</v>
      </c>
      <c r="S372">
        <v>1498</v>
      </c>
      <c r="T372">
        <v>1501.6</v>
      </c>
      <c r="U372" s="17">
        <v>14.12065584</v>
      </c>
      <c r="V372" s="60">
        <v>1557</v>
      </c>
      <c r="W372" s="60">
        <v>1553</v>
      </c>
      <c r="X372" s="60">
        <v>1552</v>
      </c>
      <c r="Y372" s="60">
        <v>1556</v>
      </c>
      <c r="Z372" s="60">
        <v>1552</v>
      </c>
    </row>
    <row r="373" spans="1:26" x14ac:dyDescent="0.6">
      <c r="A373" s="6" t="s">
        <v>776</v>
      </c>
      <c r="B373" s="10">
        <v>50</v>
      </c>
      <c r="C373" s="13" t="s">
        <v>973</v>
      </c>
      <c r="D373" s="13" t="s">
        <v>976</v>
      </c>
      <c r="E373" s="13" t="s">
        <v>985</v>
      </c>
      <c r="F373" s="10">
        <v>2</v>
      </c>
      <c r="G373" s="10"/>
      <c r="H373" s="1">
        <v>1755</v>
      </c>
      <c r="I373" s="1">
        <v>1449</v>
      </c>
      <c r="J373" s="1">
        <v>1450.6</v>
      </c>
      <c r="K373" s="2">
        <v>5.01</v>
      </c>
      <c r="L373">
        <v>1451</v>
      </c>
      <c r="M373">
        <v>1451</v>
      </c>
      <c r="N373">
        <v>1451</v>
      </c>
      <c r="O373">
        <v>1451</v>
      </c>
      <c r="P373">
        <v>1449</v>
      </c>
      <c r="S373">
        <v>1459</v>
      </c>
      <c r="T373">
        <v>1461.6</v>
      </c>
      <c r="U373" s="17">
        <v>13.83416248</v>
      </c>
      <c r="V373" s="60">
        <v>1511</v>
      </c>
      <c r="W373" s="60">
        <v>1514</v>
      </c>
      <c r="X373" s="60">
        <v>1513</v>
      </c>
      <c r="Y373" s="60">
        <v>1508</v>
      </c>
      <c r="Z373" s="60">
        <v>1510</v>
      </c>
    </row>
    <row r="374" spans="1:26" x14ac:dyDescent="0.6">
      <c r="A374" s="6" t="s">
        <v>777</v>
      </c>
      <c r="B374" s="10">
        <v>50</v>
      </c>
      <c r="C374" s="13" t="s">
        <v>973</v>
      </c>
      <c r="D374" s="13" t="s">
        <v>976</v>
      </c>
      <c r="E374" s="13" t="s">
        <v>982</v>
      </c>
      <c r="F374" s="10">
        <v>3</v>
      </c>
      <c r="G374" s="10"/>
      <c r="H374" s="1">
        <v>1740</v>
      </c>
      <c r="I374" s="1">
        <v>1474</v>
      </c>
      <c r="J374" s="1">
        <v>1474</v>
      </c>
      <c r="K374" s="2">
        <v>5.01</v>
      </c>
      <c r="L374">
        <v>1474</v>
      </c>
      <c r="M374">
        <v>1474</v>
      </c>
      <c r="N374">
        <v>1474</v>
      </c>
      <c r="O374">
        <v>1474</v>
      </c>
      <c r="P374">
        <v>1474</v>
      </c>
      <c r="S374">
        <v>1484</v>
      </c>
      <c r="T374">
        <v>1487.8</v>
      </c>
      <c r="U374" s="17">
        <v>14.432346320000001</v>
      </c>
      <c r="V374" s="60">
        <v>1537</v>
      </c>
      <c r="W374" s="60">
        <v>1536</v>
      </c>
      <c r="X374" s="60">
        <v>1545</v>
      </c>
      <c r="Y374" s="60">
        <v>1542</v>
      </c>
      <c r="Z374" s="60">
        <v>1543</v>
      </c>
    </row>
    <row r="375" spans="1:26" x14ac:dyDescent="0.6">
      <c r="A375" s="6" t="s">
        <v>778</v>
      </c>
      <c r="B375" s="10">
        <v>50</v>
      </c>
      <c r="C375" s="13" t="s">
        <v>973</v>
      </c>
      <c r="D375" s="13" t="s">
        <v>976</v>
      </c>
      <c r="E375" s="13" t="s">
        <v>982</v>
      </c>
      <c r="F375" s="10">
        <v>4</v>
      </c>
      <c r="G375" s="10"/>
      <c r="H375" s="1">
        <v>1731</v>
      </c>
      <c r="I375" s="1">
        <v>1463</v>
      </c>
      <c r="J375" s="1">
        <v>1463.8</v>
      </c>
      <c r="K375" s="2">
        <v>5.01</v>
      </c>
      <c r="L375">
        <v>1464</v>
      </c>
      <c r="M375">
        <v>1463</v>
      </c>
      <c r="N375">
        <v>1464</v>
      </c>
      <c r="O375">
        <v>1464</v>
      </c>
      <c r="P375">
        <v>1464</v>
      </c>
      <c r="S375">
        <v>1474</v>
      </c>
      <c r="T375">
        <v>1474.8</v>
      </c>
      <c r="U375" s="17">
        <v>13.698090219999999</v>
      </c>
      <c r="V375" s="60">
        <v>1524</v>
      </c>
      <c r="W375" s="60">
        <v>1521</v>
      </c>
      <c r="X375" s="60">
        <v>1526</v>
      </c>
      <c r="Y375" s="60">
        <v>1523</v>
      </c>
      <c r="Z375" s="60">
        <v>1524</v>
      </c>
    </row>
    <row r="376" spans="1:26" x14ac:dyDescent="0.6">
      <c r="A376" s="6" t="s">
        <v>779</v>
      </c>
      <c r="B376" s="10">
        <v>50</v>
      </c>
      <c r="C376" s="13" t="s">
        <v>973</v>
      </c>
      <c r="D376" s="13" t="s">
        <v>976</v>
      </c>
      <c r="E376" s="13" t="s">
        <v>982</v>
      </c>
      <c r="F376" s="10">
        <v>5</v>
      </c>
      <c r="G376" s="10"/>
      <c r="H376" s="1">
        <v>1858</v>
      </c>
      <c r="I376" s="1">
        <v>1456</v>
      </c>
      <c r="J376" s="1">
        <v>1456.6</v>
      </c>
      <c r="K376" s="2">
        <v>5</v>
      </c>
      <c r="L376">
        <v>1456</v>
      </c>
      <c r="M376">
        <v>1456</v>
      </c>
      <c r="N376">
        <v>1457</v>
      </c>
      <c r="O376">
        <v>1458</v>
      </c>
      <c r="P376">
        <v>1456</v>
      </c>
      <c r="S376">
        <v>1460</v>
      </c>
      <c r="T376">
        <v>1464.8</v>
      </c>
      <c r="U376" s="17">
        <v>14.07519162</v>
      </c>
      <c r="V376" s="60">
        <v>1513</v>
      </c>
      <c r="W376" s="60">
        <v>1516</v>
      </c>
      <c r="X376" s="60">
        <v>1519</v>
      </c>
      <c r="Y376" s="60">
        <v>1514</v>
      </c>
      <c r="Z376" s="60">
        <v>1517</v>
      </c>
    </row>
    <row r="377" spans="1:26" x14ac:dyDescent="0.6">
      <c r="A377" s="6" t="s">
        <v>780</v>
      </c>
      <c r="B377" s="10">
        <v>50</v>
      </c>
      <c r="C377" s="13" t="s">
        <v>973</v>
      </c>
      <c r="D377" s="13" t="s">
        <v>976</v>
      </c>
      <c r="E377" s="13" t="s">
        <v>982</v>
      </c>
      <c r="F377" s="10">
        <v>6</v>
      </c>
      <c r="G377" s="10"/>
      <c r="H377" s="1">
        <v>1923</v>
      </c>
      <c r="I377" s="1">
        <v>1458</v>
      </c>
      <c r="J377" s="1">
        <v>1458.2</v>
      </c>
      <c r="K377" s="2">
        <v>5.01</v>
      </c>
      <c r="L377">
        <v>1458</v>
      </c>
      <c r="M377">
        <v>1459</v>
      </c>
      <c r="N377">
        <v>1458</v>
      </c>
      <c r="O377">
        <v>1458</v>
      </c>
      <c r="P377">
        <v>1458</v>
      </c>
      <c r="S377">
        <v>1467</v>
      </c>
      <c r="T377">
        <v>1474.6</v>
      </c>
      <c r="U377" s="17">
        <v>14.34360676</v>
      </c>
      <c r="V377" s="60">
        <v>1522</v>
      </c>
      <c r="W377" s="60">
        <v>1522</v>
      </c>
      <c r="X377" s="60">
        <v>1525</v>
      </c>
      <c r="Y377" s="60">
        <v>1525</v>
      </c>
      <c r="Z377" s="60">
        <v>1526</v>
      </c>
    </row>
    <row r="378" spans="1:26" x14ac:dyDescent="0.6">
      <c r="A378" s="6" t="s">
        <v>781</v>
      </c>
      <c r="B378" s="10">
        <v>50</v>
      </c>
      <c r="C378" s="13" t="s">
        <v>973</v>
      </c>
      <c r="D378" s="13" t="s">
        <v>976</v>
      </c>
      <c r="E378" s="13" t="s">
        <v>982</v>
      </c>
      <c r="F378" s="10">
        <v>7</v>
      </c>
      <c r="G378" s="10"/>
      <c r="H378" s="1">
        <v>1903</v>
      </c>
      <c r="I378" s="1">
        <v>1470</v>
      </c>
      <c r="J378" s="1">
        <v>1470.6</v>
      </c>
      <c r="K378" s="2">
        <v>5.01</v>
      </c>
      <c r="L378">
        <v>1471</v>
      </c>
      <c r="M378">
        <v>1470</v>
      </c>
      <c r="N378">
        <v>1470</v>
      </c>
      <c r="O378">
        <v>1471</v>
      </c>
      <c r="P378">
        <v>1471</v>
      </c>
      <c r="S378">
        <v>1480</v>
      </c>
      <c r="T378">
        <v>1484.4</v>
      </c>
      <c r="U378" s="17">
        <v>14.494540300000001</v>
      </c>
      <c r="V378" s="60">
        <v>1545</v>
      </c>
      <c r="W378" s="60">
        <v>1541</v>
      </c>
      <c r="X378" s="60">
        <v>1541</v>
      </c>
      <c r="Y378" s="60">
        <v>1545</v>
      </c>
      <c r="Z378" s="60">
        <v>1544</v>
      </c>
    </row>
    <row r="379" spans="1:26" x14ac:dyDescent="0.6">
      <c r="A379" s="6" t="s">
        <v>782</v>
      </c>
      <c r="B379" s="10">
        <v>50</v>
      </c>
      <c r="C379" s="13" t="s">
        <v>973</v>
      </c>
      <c r="D379" s="13" t="s">
        <v>976</v>
      </c>
      <c r="E379" s="13" t="s">
        <v>982</v>
      </c>
      <c r="F379" s="10">
        <v>8</v>
      </c>
      <c r="G379" s="10"/>
      <c r="H379" s="1">
        <v>1778</v>
      </c>
      <c r="I379" s="1">
        <v>1488</v>
      </c>
      <c r="J379" s="1">
        <v>1489</v>
      </c>
      <c r="K379" s="2">
        <v>5.01</v>
      </c>
      <c r="L379">
        <v>1489</v>
      </c>
      <c r="M379">
        <v>1489</v>
      </c>
      <c r="N379">
        <v>1488</v>
      </c>
      <c r="O379">
        <v>1490</v>
      </c>
      <c r="P379">
        <v>1489</v>
      </c>
      <c r="S379">
        <v>1499</v>
      </c>
      <c r="T379">
        <v>1502.8</v>
      </c>
      <c r="U379" s="17">
        <v>13.509954179999999</v>
      </c>
      <c r="V379" s="60">
        <v>1552</v>
      </c>
      <c r="W379" s="60">
        <v>1548</v>
      </c>
      <c r="X379" s="60">
        <v>1551</v>
      </c>
      <c r="Y379" s="60">
        <v>1551</v>
      </c>
      <c r="Z379" s="60">
        <v>1550</v>
      </c>
    </row>
    <row r="380" spans="1:26" x14ac:dyDescent="0.6">
      <c r="A380" s="6" t="s">
        <v>783</v>
      </c>
      <c r="B380" s="10">
        <v>50</v>
      </c>
      <c r="C380" s="13" t="s">
        <v>973</v>
      </c>
      <c r="D380" s="13" t="s">
        <v>976</v>
      </c>
      <c r="E380" s="13" t="s">
        <v>982</v>
      </c>
      <c r="F380" s="10">
        <v>9</v>
      </c>
      <c r="G380" s="10"/>
      <c r="H380" s="1">
        <v>1939</v>
      </c>
      <c r="I380" s="1">
        <v>1453</v>
      </c>
      <c r="J380" s="1">
        <v>1454.2</v>
      </c>
      <c r="K380" s="2">
        <v>5</v>
      </c>
      <c r="L380">
        <v>1454</v>
      </c>
      <c r="M380">
        <v>1453</v>
      </c>
      <c r="N380">
        <v>1454</v>
      </c>
      <c r="O380">
        <v>1455</v>
      </c>
      <c r="P380">
        <v>1455</v>
      </c>
      <c r="S380">
        <v>1462</v>
      </c>
      <c r="T380">
        <v>1464.6</v>
      </c>
      <c r="U380" s="17">
        <v>14.38710378</v>
      </c>
      <c r="V380" s="60">
        <v>1525</v>
      </c>
      <c r="W380" s="60">
        <v>1520</v>
      </c>
      <c r="X380" s="60">
        <v>1522</v>
      </c>
      <c r="Y380" s="60">
        <v>1521</v>
      </c>
      <c r="Z380" s="60">
        <v>1517</v>
      </c>
    </row>
    <row r="381" spans="1:26" x14ac:dyDescent="0.6">
      <c r="A381" s="6" t="s">
        <v>784</v>
      </c>
      <c r="B381" s="10">
        <v>50</v>
      </c>
      <c r="C381" s="13" t="s">
        <v>973</v>
      </c>
      <c r="D381" s="13" t="s">
        <v>976</v>
      </c>
      <c r="E381" s="13" t="s">
        <v>982</v>
      </c>
      <c r="F381" s="10">
        <v>10</v>
      </c>
      <c r="G381" s="10"/>
      <c r="H381" s="1">
        <v>1971</v>
      </c>
      <c r="I381" s="1">
        <v>1461</v>
      </c>
      <c r="J381" s="1">
        <v>1462</v>
      </c>
      <c r="K381" s="2">
        <v>5</v>
      </c>
      <c r="L381">
        <v>1461</v>
      </c>
      <c r="M381">
        <v>1463</v>
      </c>
      <c r="N381">
        <v>1461</v>
      </c>
      <c r="O381">
        <v>1463</v>
      </c>
      <c r="P381">
        <v>1462</v>
      </c>
      <c r="S381">
        <v>1478</v>
      </c>
      <c r="T381">
        <v>1479</v>
      </c>
      <c r="U381" s="17">
        <v>14.90198736</v>
      </c>
      <c r="V381" s="60">
        <v>1563</v>
      </c>
      <c r="W381" s="60">
        <v>1569</v>
      </c>
      <c r="X381" s="60">
        <v>1553</v>
      </c>
      <c r="Y381" s="60">
        <v>1569</v>
      </c>
      <c r="Z381" s="60">
        <v>1576</v>
      </c>
    </row>
    <row r="382" spans="1:26" x14ac:dyDescent="0.6">
      <c r="A382" s="6" t="s">
        <v>785</v>
      </c>
      <c r="B382" s="10">
        <v>50</v>
      </c>
      <c r="C382" s="13" t="s">
        <v>973</v>
      </c>
      <c r="D382" s="13" t="s">
        <v>979</v>
      </c>
      <c r="E382" s="13" t="s">
        <v>981</v>
      </c>
      <c r="F382" s="10">
        <v>1</v>
      </c>
      <c r="G382" s="10"/>
      <c r="H382" s="1">
        <v>1895</v>
      </c>
      <c r="I382" s="1">
        <v>1728</v>
      </c>
      <c r="J382" s="1">
        <v>1729.4</v>
      </c>
      <c r="K382" s="2">
        <v>5.01</v>
      </c>
      <c r="L382">
        <v>1729</v>
      </c>
      <c r="M382">
        <v>1728</v>
      </c>
      <c r="N382">
        <v>1730</v>
      </c>
      <c r="O382">
        <v>1730</v>
      </c>
      <c r="P382">
        <v>1730</v>
      </c>
      <c r="S382">
        <v>1739</v>
      </c>
      <c r="T382">
        <v>1745.4</v>
      </c>
      <c r="U382" s="17">
        <v>14.91598892</v>
      </c>
      <c r="V382" s="60">
        <v>1783</v>
      </c>
      <c r="W382" s="60">
        <v>1793</v>
      </c>
      <c r="X382" s="60">
        <v>1793</v>
      </c>
      <c r="Y382" s="60">
        <v>1794</v>
      </c>
      <c r="Z382" s="60">
        <v>1787</v>
      </c>
    </row>
    <row r="383" spans="1:26" x14ac:dyDescent="0.6">
      <c r="A383" s="6" t="s">
        <v>786</v>
      </c>
      <c r="B383" s="10">
        <v>50</v>
      </c>
      <c r="C383" s="13" t="s">
        <v>973</v>
      </c>
      <c r="D383" s="13" t="s">
        <v>979</v>
      </c>
      <c r="E383" s="13" t="s">
        <v>983</v>
      </c>
      <c r="F383" s="10">
        <v>2</v>
      </c>
      <c r="G383" s="10"/>
      <c r="H383" s="1">
        <v>1850</v>
      </c>
      <c r="I383" s="1">
        <v>1695</v>
      </c>
      <c r="J383" s="1">
        <v>1695.4</v>
      </c>
      <c r="K383" s="2">
        <v>5.01</v>
      </c>
      <c r="L383">
        <v>1695</v>
      </c>
      <c r="M383">
        <v>1695</v>
      </c>
      <c r="N383">
        <v>1696</v>
      </c>
      <c r="O383">
        <v>1696</v>
      </c>
      <c r="P383">
        <v>1695</v>
      </c>
      <c r="S383">
        <v>1703</v>
      </c>
      <c r="T383">
        <v>1706.2</v>
      </c>
      <c r="U383" s="17">
        <v>13.93325422</v>
      </c>
      <c r="V383" s="60">
        <v>1751</v>
      </c>
      <c r="W383" s="60">
        <v>1751</v>
      </c>
      <c r="X383" s="60">
        <v>1755</v>
      </c>
      <c r="Y383" s="60">
        <v>1757</v>
      </c>
      <c r="Z383" s="60">
        <v>1754</v>
      </c>
    </row>
    <row r="384" spans="1:26" x14ac:dyDescent="0.6">
      <c r="A384" s="6" t="s">
        <v>787</v>
      </c>
      <c r="B384" s="10">
        <v>50</v>
      </c>
      <c r="C384" s="13" t="s">
        <v>973</v>
      </c>
      <c r="D384" s="13" t="s">
        <v>978</v>
      </c>
      <c r="E384" s="13" t="s">
        <v>980</v>
      </c>
      <c r="F384" s="10">
        <v>3</v>
      </c>
      <c r="G384" s="10"/>
      <c r="H384" s="1">
        <v>1844</v>
      </c>
      <c r="I384" s="1">
        <v>1718</v>
      </c>
      <c r="J384" s="1">
        <v>1719</v>
      </c>
      <c r="K384" s="2">
        <v>5.01</v>
      </c>
      <c r="L384">
        <v>1718</v>
      </c>
      <c r="M384">
        <v>1719</v>
      </c>
      <c r="N384">
        <v>1719</v>
      </c>
      <c r="O384">
        <v>1720</v>
      </c>
      <c r="P384">
        <v>1719</v>
      </c>
      <c r="S384">
        <v>1731</v>
      </c>
      <c r="T384">
        <v>1733.2</v>
      </c>
      <c r="U384" s="17">
        <v>13.53968354</v>
      </c>
      <c r="V384" s="60">
        <v>1777</v>
      </c>
      <c r="W384" s="60">
        <v>1778</v>
      </c>
      <c r="X384" s="60">
        <v>1782</v>
      </c>
      <c r="Y384" s="60">
        <v>1779</v>
      </c>
      <c r="Z384" s="60">
        <v>1780</v>
      </c>
    </row>
    <row r="385" spans="1:26" x14ac:dyDescent="0.6">
      <c r="A385" s="6" t="s">
        <v>788</v>
      </c>
      <c r="B385" s="10">
        <v>50</v>
      </c>
      <c r="C385" s="13" t="s">
        <v>973</v>
      </c>
      <c r="D385" s="13" t="s">
        <v>978</v>
      </c>
      <c r="E385" s="13" t="s">
        <v>980</v>
      </c>
      <c r="F385" s="10">
        <v>4</v>
      </c>
      <c r="G385" s="10"/>
      <c r="H385" s="1">
        <v>1844</v>
      </c>
      <c r="I385" s="1">
        <v>1708</v>
      </c>
      <c r="J385" s="1">
        <v>1708.6</v>
      </c>
      <c r="K385" s="2">
        <v>5.01</v>
      </c>
      <c r="L385">
        <v>1709</v>
      </c>
      <c r="M385">
        <v>1709</v>
      </c>
      <c r="N385">
        <v>1708</v>
      </c>
      <c r="O385">
        <v>1709</v>
      </c>
      <c r="P385">
        <v>1708</v>
      </c>
      <c r="S385">
        <v>1713</v>
      </c>
      <c r="T385">
        <v>1718.2</v>
      </c>
      <c r="U385" s="17">
        <v>13.7359708</v>
      </c>
      <c r="V385" s="60">
        <v>1767</v>
      </c>
      <c r="W385" s="60">
        <v>1767</v>
      </c>
      <c r="X385" s="60">
        <v>1760</v>
      </c>
      <c r="Y385" s="60">
        <v>1767</v>
      </c>
      <c r="Z385" s="60">
        <v>1766</v>
      </c>
    </row>
    <row r="386" spans="1:26" x14ac:dyDescent="0.6">
      <c r="A386" s="6" t="s">
        <v>789</v>
      </c>
      <c r="B386" s="10">
        <v>50</v>
      </c>
      <c r="C386" s="13" t="s">
        <v>973</v>
      </c>
      <c r="D386" s="13" t="s">
        <v>978</v>
      </c>
      <c r="E386" s="13" t="s">
        <v>980</v>
      </c>
      <c r="F386" s="10">
        <v>5</v>
      </c>
      <c r="G386" s="10"/>
      <c r="H386" s="1">
        <v>1906</v>
      </c>
      <c r="I386" s="1">
        <v>1700</v>
      </c>
      <c r="J386" s="1">
        <v>1700.8</v>
      </c>
      <c r="K386" s="2">
        <v>5.01</v>
      </c>
      <c r="L386">
        <v>1701</v>
      </c>
      <c r="M386">
        <v>1700</v>
      </c>
      <c r="N386">
        <v>1701</v>
      </c>
      <c r="O386">
        <v>1701</v>
      </c>
      <c r="P386">
        <v>1701</v>
      </c>
      <c r="S386">
        <v>1710</v>
      </c>
      <c r="T386">
        <v>1711.6</v>
      </c>
      <c r="U386" s="17">
        <v>13.836207760000001</v>
      </c>
      <c r="V386" s="60">
        <v>1761</v>
      </c>
      <c r="W386" s="60">
        <v>1761</v>
      </c>
      <c r="X386" s="60">
        <v>1759</v>
      </c>
      <c r="Y386" s="60">
        <v>1762</v>
      </c>
      <c r="Z386" s="60">
        <v>1758</v>
      </c>
    </row>
    <row r="387" spans="1:26" x14ac:dyDescent="0.6">
      <c r="A387" s="6" t="s">
        <v>790</v>
      </c>
      <c r="B387" s="10">
        <v>50</v>
      </c>
      <c r="C387" s="13" t="s">
        <v>973</v>
      </c>
      <c r="D387" s="13" t="s">
        <v>978</v>
      </c>
      <c r="E387" s="13" t="s">
        <v>980</v>
      </c>
      <c r="F387" s="10">
        <v>6</v>
      </c>
      <c r="G387" s="10"/>
      <c r="H387" s="1">
        <v>1918</v>
      </c>
      <c r="I387" s="1">
        <v>1702</v>
      </c>
      <c r="J387" s="1">
        <v>1702.4</v>
      </c>
      <c r="K387" s="2">
        <v>5</v>
      </c>
      <c r="L387">
        <v>1702</v>
      </c>
      <c r="M387">
        <v>1702</v>
      </c>
      <c r="N387">
        <v>1703</v>
      </c>
      <c r="O387">
        <v>1702</v>
      </c>
      <c r="P387">
        <v>1703</v>
      </c>
      <c r="S387">
        <v>1712</v>
      </c>
      <c r="T387">
        <v>1715.4</v>
      </c>
      <c r="U387" s="17">
        <v>14.063192280000001</v>
      </c>
      <c r="V387" s="60">
        <v>1767</v>
      </c>
      <c r="W387" s="60">
        <v>1760</v>
      </c>
      <c r="X387" s="60">
        <v>1762</v>
      </c>
      <c r="Y387" s="60">
        <v>1764</v>
      </c>
      <c r="Z387" s="60">
        <v>1765</v>
      </c>
    </row>
    <row r="388" spans="1:26" x14ac:dyDescent="0.6">
      <c r="A388" s="6" t="s">
        <v>791</v>
      </c>
      <c r="B388" s="10">
        <v>50</v>
      </c>
      <c r="C388" s="13" t="s">
        <v>973</v>
      </c>
      <c r="D388" s="13" t="s">
        <v>978</v>
      </c>
      <c r="E388" s="13" t="s">
        <v>980</v>
      </c>
      <c r="F388" s="10">
        <v>7</v>
      </c>
      <c r="G388" s="10"/>
      <c r="H388" s="1">
        <v>1923</v>
      </c>
      <c r="I388" s="1">
        <v>1714</v>
      </c>
      <c r="J388" s="1">
        <v>1715.2</v>
      </c>
      <c r="K388" s="2">
        <v>5.01</v>
      </c>
      <c r="L388">
        <v>1716</v>
      </c>
      <c r="M388">
        <v>1716</v>
      </c>
      <c r="N388">
        <v>1714</v>
      </c>
      <c r="O388">
        <v>1715</v>
      </c>
      <c r="P388">
        <v>1715</v>
      </c>
      <c r="S388">
        <v>1725</v>
      </c>
      <c r="T388">
        <v>1728.2</v>
      </c>
      <c r="U388" s="17">
        <v>14.464546820000001</v>
      </c>
      <c r="V388" s="60">
        <v>1783</v>
      </c>
      <c r="W388" s="60">
        <v>1785</v>
      </c>
      <c r="X388" s="60">
        <v>1776</v>
      </c>
      <c r="Y388" s="60">
        <v>1783</v>
      </c>
      <c r="Z388" s="60">
        <v>1779</v>
      </c>
    </row>
    <row r="389" spans="1:26" x14ac:dyDescent="0.6">
      <c r="A389" s="6" t="s">
        <v>792</v>
      </c>
      <c r="B389" s="10">
        <v>50</v>
      </c>
      <c r="C389" s="13" t="s">
        <v>973</v>
      </c>
      <c r="D389" s="13" t="s">
        <v>978</v>
      </c>
      <c r="E389" s="13" t="s">
        <v>980</v>
      </c>
      <c r="F389" s="10">
        <v>8</v>
      </c>
      <c r="G389" s="10"/>
      <c r="H389" s="1">
        <v>1873</v>
      </c>
      <c r="I389" s="1">
        <v>1733</v>
      </c>
      <c r="J389" s="1">
        <v>1733.8</v>
      </c>
      <c r="K389" s="2">
        <v>5.01</v>
      </c>
      <c r="L389">
        <v>1734</v>
      </c>
      <c r="M389">
        <v>1733</v>
      </c>
      <c r="N389">
        <v>1733</v>
      </c>
      <c r="O389">
        <v>1734</v>
      </c>
      <c r="P389">
        <v>1735</v>
      </c>
      <c r="S389">
        <v>1741</v>
      </c>
      <c r="T389">
        <v>1745</v>
      </c>
      <c r="U389" s="17">
        <v>13.045407579999999</v>
      </c>
      <c r="V389" s="60">
        <v>1794</v>
      </c>
      <c r="W389" s="60">
        <v>1793</v>
      </c>
      <c r="X389" s="60">
        <v>1793</v>
      </c>
      <c r="Y389" s="60">
        <v>1791</v>
      </c>
      <c r="Z389" s="60">
        <v>1792</v>
      </c>
    </row>
    <row r="390" spans="1:26" x14ac:dyDescent="0.6">
      <c r="A390" s="6" t="s">
        <v>793</v>
      </c>
      <c r="B390" s="10">
        <v>50</v>
      </c>
      <c r="C390" s="13" t="s">
        <v>973</v>
      </c>
      <c r="D390" s="13" t="s">
        <v>978</v>
      </c>
      <c r="E390" s="13" t="s">
        <v>980</v>
      </c>
      <c r="F390" s="10">
        <v>9</v>
      </c>
      <c r="G390" s="10"/>
      <c r="H390" s="1">
        <v>1931</v>
      </c>
      <c r="I390" s="1">
        <v>1698</v>
      </c>
      <c r="J390" s="1">
        <v>1698.8</v>
      </c>
      <c r="K390" s="2">
        <v>5.01</v>
      </c>
      <c r="L390">
        <v>1699</v>
      </c>
      <c r="M390">
        <v>1699</v>
      </c>
      <c r="N390">
        <v>1698</v>
      </c>
      <c r="O390">
        <v>1699</v>
      </c>
      <c r="P390">
        <v>1699</v>
      </c>
      <c r="S390">
        <v>1704</v>
      </c>
      <c r="T390">
        <v>1710.4</v>
      </c>
      <c r="U390" s="17">
        <v>14.766745459999999</v>
      </c>
      <c r="V390" s="60">
        <v>1760</v>
      </c>
      <c r="W390" s="60">
        <v>1756</v>
      </c>
      <c r="X390" s="60">
        <v>1757</v>
      </c>
      <c r="Y390" s="60">
        <v>1755</v>
      </c>
      <c r="Z390" s="60">
        <v>1756</v>
      </c>
    </row>
    <row r="391" spans="1:26" x14ac:dyDescent="0.6">
      <c r="A391" s="6" t="s">
        <v>794</v>
      </c>
      <c r="B391" s="10">
        <v>50</v>
      </c>
      <c r="C391" s="13" t="s">
        <v>973</v>
      </c>
      <c r="D391" s="13" t="s">
        <v>978</v>
      </c>
      <c r="E391" s="13" t="s">
        <v>980</v>
      </c>
      <c r="F391" s="10">
        <v>10</v>
      </c>
      <c r="G391" s="10"/>
      <c r="H391" s="1">
        <v>1951</v>
      </c>
      <c r="I391" s="1">
        <v>1706</v>
      </c>
      <c r="J391" s="1">
        <v>1706.2</v>
      </c>
      <c r="K391" s="2">
        <v>5.01</v>
      </c>
      <c r="L391">
        <v>1706</v>
      </c>
      <c r="M391">
        <v>1707</v>
      </c>
      <c r="N391">
        <v>1706</v>
      </c>
      <c r="O391">
        <v>1706</v>
      </c>
      <c r="P391">
        <v>1706</v>
      </c>
      <c r="S391">
        <v>1717</v>
      </c>
      <c r="T391">
        <v>1722.2</v>
      </c>
      <c r="U391" s="17">
        <v>14.914587279999999</v>
      </c>
      <c r="V391" s="60">
        <v>1770</v>
      </c>
      <c r="W391" s="60">
        <v>1781</v>
      </c>
      <c r="X391" s="60">
        <v>1777</v>
      </c>
      <c r="Y391" s="60">
        <v>1781</v>
      </c>
      <c r="Z391" s="60">
        <v>1770</v>
      </c>
    </row>
    <row r="392" spans="1:26" x14ac:dyDescent="0.6">
      <c r="A392" s="6" t="s">
        <v>795</v>
      </c>
      <c r="B392" s="10">
        <v>50</v>
      </c>
      <c r="C392" s="13" t="s">
        <v>973</v>
      </c>
      <c r="D392" s="13" t="s">
        <v>978</v>
      </c>
      <c r="E392" s="13" t="s">
        <v>984</v>
      </c>
      <c r="F392" s="10">
        <v>1</v>
      </c>
      <c r="G392" s="10"/>
      <c r="H392" s="1">
        <v>2075</v>
      </c>
      <c r="I392" s="1">
        <v>1729</v>
      </c>
      <c r="J392" s="1">
        <v>1729</v>
      </c>
      <c r="K392" s="2">
        <v>5.01</v>
      </c>
      <c r="L392">
        <v>1729</v>
      </c>
      <c r="M392">
        <v>1729</v>
      </c>
      <c r="N392">
        <v>1729</v>
      </c>
      <c r="O392">
        <v>1729</v>
      </c>
      <c r="P392">
        <v>1729</v>
      </c>
      <c r="S392">
        <v>1744</v>
      </c>
      <c r="T392">
        <v>1745.8</v>
      </c>
      <c r="U392" s="17">
        <v>14.2186568</v>
      </c>
      <c r="V392" s="60">
        <v>1796</v>
      </c>
      <c r="W392" s="60">
        <v>1792</v>
      </c>
      <c r="X392" s="60">
        <v>1796</v>
      </c>
      <c r="Y392" s="60">
        <v>1793</v>
      </c>
      <c r="Z392" s="60">
        <v>1791</v>
      </c>
    </row>
    <row r="393" spans="1:26" x14ac:dyDescent="0.6">
      <c r="A393" s="6" t="s">
        <v>796</v>
      </c>
      <c r="B393" s="10">
        <v>50</v>
      </c>
      <c r="C393" s="13" t="s">
        <v>973</v>
      </c>
      <c r="D393" s="13" t="s">
        <v>978</v>
      </c>
      <c r="E393" s="13" t="s">
        <v>985</v>
      </c>
      <c r="F393" s="10">
        <v>2</v>
      </c>
      <c r="G393" s="10"/>
      <c r="H393" s="1">
        <v>1970</v>
      </c>
      <c r="I393" s="1">
        <v>1695</v>
      </c>
      <c r="J393" s="1">
        <v>1695.6</v>
      </c>
      <c r="K393" s="2">
        <v>5.01</v>
      </c>
      <c r="L393">
        <v>1696</v>
      </c>
      <c r="M393">
        <v>1696</v>
      </c>
      <c r="N393">
        <v>1696</v>
      </c>
      <c r="O393">
        <v>1695</v>
      </c>
      <c r="P393">
        <v>1695</v>
      </c>
      <c r="S393">
        <v>1704</v>
      </c>
      <c r="T393">
        <v>1707.2</v>
      </c>
      <c r="U393" s="17">
        <v>14.25004352</v>
      </c>
      <c r="V393" s="60">
        <v>1758</v>
      </c>
      <c r="W393" s="60">
        <v>1750</v>
      </c>
      <c r="X393" s="60">
        <v>1759</v>
      </c>
      <c r="Y393" s="60">
        <v>1756</v>
      </c>
      <c r="Z393" s="60">
        <v>1752</v>
      </c>
    </row>
    <row r="394" spans="1:26" x14ac:dyDescent="0.6">
      <c r="A394" s="6" t="s">
        <v>797</v>
      </c>
      <c r="B394" s="10">
        <v>50</v>
      </c>
      <c r="C394" s="13" t="s">
        <v>973</v>
      </c>
      <c r="D394" s="13" t="s">
        <v>978</v>
      </c>
      <c r="E394" s="13" t="s">
        <v>982</v>
      </c>
      <c r="F394" s="10">
        <v>3</v>
      </c>
      <c r="G394" s="10"/>
      <c r="H394" s="1">
        <v>1945</v>
      </c>
      <c r="I394" s="1">
        <v>1718</v>
      </c>
      <c r="J394" s="1">
        <v>1719</v>
      </c>
      <c r="K394" s="2">
        <v>5.01</v>
      </c>
      <c r="L394">
        <v>1719</v>
      </c>
      <c r="M394">
        <v>1719</v>
      </c>
      <c r="N394">
        <v>1720</v>
      </c>
      <c r="O394">
        <v>1718</v>
      </c>
      <c r="P394">
        <v>1719</v>
      </c>
      <c r="S394">
        <v>1726</v>
      </c>
      <c r="T394">
        <v>1733.6</v>
      </c>
      <c r="U394" s="17">
        <v>14.530033639999999</v>
      </c>
      <c r="V394" s="60">
        <v>1779</v>
      </c>
      <c r="W394" s="60">
        <v>1781</v>
      </c>
      <c r="X394" s="60">
        <v>1783</v>
      </c>
      <c r="Y394" s="60">
        <v>1778</v>
      </c>
      <c r="Z394" s="60">
        <v>1780</v>
      </c>
    </row>
    <row r="395" spans="1:26" x14ac:dyDescent="0.6">
      <c r="A395" s="6" t="s">
        <v>798</v>
      </c>
      <c r="B395" s="10">
        <v>50</v>
      </c>
      <c r="C395" s="13" t="s">
        <v>973</v>
      </c>
      <c r="D395" s="13" t="s">
        <v>978</v>
      </c>
      <c r="E395" s="13" t="s">
        <v>982</v>
      </c>
      <c r="F395" s="10">
        <v>4</v>
      </c>
      <c r="G395" s="10"/>
      <c r="H395" s="1">
        <v>1944</v>
      </c>
      <c r="I395" s="1">
        <v>1708</v>
      </c>
      <c r="J395" s="1">
        <v>1709</v>
      </c>
      <c r="K395" s="2">
        <v>5.01</v>
      </c>
      <c r="L395">
        <v>1710</v>
      </c>
      <c r="M395">
        <v>1709</v>
      </c>
      <c r="N395">
        <v>1709</v>
      </c>
      <c r="O395">
        <v>1708</v>
      </c>
      <c r="P395">
        <v>1709</v>
      </c>
      <c r="S395">
        <v>1719</v>
      </c>
      <c r="T395">
        <v>1720.8</v>
      </c>
      <c r="U395" s="17">
        <v>13.72207676</v>
      </c>
      <c r="V395" s="60">
        <v>1763</v>
      </c>
      <c r="W395" s="60">
        <v>1768</v>
      </c>
      <c r="X395" s="60">
        <v>1769</v>
      </c>
      <c r="Y395" s="60">
        <v>1769</v>
      </c>
      <c r="Z395" s="60">
        <v>1765</v>
      </c>
    </row>
    <row r="396" spans="1:26" x14ac:dyDescent="0.6">
      <c r="A396" s="6" t="s">
        <v>799</v>
      </c>
      <c r="B396" s="10">
        <v>50</v>
      </c>
      <c r="C396" s="13" t="s">
        <v>973</v>
      </c>
      <c r="D396" s="13" t="s">
        <v>978</v>
      </c>
      <c r="E396" s="13" t="s">
        <v>982</v>
      </c>
      <c r="F396" s="10">
        <v>5</v>
      </c>
      <c r="G396" s="10"/>
      <c r="H396" s="1">
        <v>2055</v>
      </c>
      <c r="I396" s="1">
        <v>1700</v>
      </c>
      <c r="J396" s="1">
        <v>1701.2</v>
      </c>
      <c r="K396" s="2">
        <v>5.01</v>
      </c>
      <c r="L396">
        <v>1701</v>
      </c>
      <c r="M396">
        <v>1702</v>
      </c>
      <c r="N396">
        <v>1702</v>
      </c>
      <c r="O396">
        <v>1701</v>
      </c>
      <c r="P396">
        <v>1700</v>
      </c>
      <c r="S396">
        <v>1711</v>
      </c>
      <c r="T396">
        <v>1713</v>
      </c>
      <c r="U396" s="17">
        <v>13.953392060000001</v>
      </c>
      <c r="V396" s="60">
        <v>1761</v>
      </c>
      <c r="W396" s="60">
        <v>1764</v>
      </c>
      <c r="X396" s="60">
        <v>1759</v>
      </c>
      <c r="Y396" s="60">
        <v>1762</v>
      </c>
      <c r="Z396" s="60">
        <v>1758</v>
      </c>
    </row>
    <row r="397" spans="1:26" x14ac:dyDescent="0.6">
      <c r="A397" s="6" t="s">
        <v>800</v>
      </c>
      <c r="B397" s="10">
        <v>50</v>
      </c>
      <c r="C397" s="13" t="s">
        <v>973</v>
      </c>
      <c r="D397" s="13" t="s">
        <v>978</v>
      </c>
      <c r="E397" s="13" t="s">
        <v>982</v>
      </c>
      <c r="F397" s="10">
        <v>6</v>
      </c>
      <c r="G397" s="10"/>
      <c r="H397" s="1">
        <v>2118</v>
      </c>
      <c r="I397" s="1">
        <v>1702</v>
      </c>
      <c r="J397" s="1">
        <v>1702.4</v>
      </c>
      <c r="K397" s="2">
        <v>5.01</v>
      </c>
      <c r="L397">
        <v>1702</v>
      </c>
      <c r="M397">
        <v>1703</v>
      </c>
      <c r="N397">
        <v>1702</v>
      </c>
      <c r="O397">
        <v>1702</v>
      </c>
      <c r="P397">
        <v>1703</v>
      </c>
      <c r="S397">
        <v>1716</v>
      </c>
      <c r="T397">
        <v>1717.4</v>
      </c>
      <c r="U397" s="17">
        <v>14.475781720000001</v>
      </c>
      <c r="V397" s="60">
        <v>1764</v>
      </c>
      <c r="W397" s="60">
        <v>1766</v>
      </c>
      <c r="X397" s="60">
        <v>1767</v>
      </c>
      <c r="Y397" s="60">
        <v>1763</v>
      </c>
      <c r="Z397" s="60">
        <v>1765</v>
      </c>
    </row>
    <row r="398" spans="1:26" x14ac:dyDescent="0.6">
      <c r="A398" s="6" t="s">
        <v>801</v>
      </c>
      <c r="B398" s="10">
        <v>50</v>
      </c>
      <c r="C398" s="13" t="s">
        <v>973</v>
      </c>
      <c r="D398" s="13" t="s">
        <v>978</v>
      </c>
      <c r="E398" s="13" t="s">
        <v>982</v>
      </c>
      <c r="F398" s="10">
        <v>7</v>
      </c>
      <c r="G398" s="10"/>
      <c r="H398" s="1">
        <v>2103</v>
      </c>
      <c r="I398" s="1">
        <v>1715</v>
      </c>
      <c r="J398" s="1">
        <v>1715.6</v>
      </c>
      <c r="K398" s="2">
        <v>5</v>
      </c>
      <c r="L398">
        <v>1716</v>
      </c>
      <c r="M398">
        <v>1715</v>
      </c>
      <c r="N398">
        <v>1715</v>
      </c>
      <c r="O398">
        <v>1716</v>
      </c>
      <c r="P398">
        <v>1716</v>
      </c>
      <c r="S398">
        <v>1724</v>
      </c>
      <c r="T398">
        <v>1727.4</v>
      </c>
      <c r="U398" s="17">
        <v>14.8202915</v>
      </c>
      <c r="V398" s="60">
        <v>1787</v>
      </c>
      <c r="W398" s="60">
        <v>1783</v>
      </c>
      <c r="X398" s="60">
        <v>1785</v>
      </c>
      <c r="Y398" s="60">
        <v>1782</v>
      </c>
      <c r="Z398" s="60">
        <v>1779</v>
      </c>
    </row>
    <row r="399" spans="1:26" x14ac:dyDescent="0.6">
      <c r="A399" s="6" t="s">
        <v>802</v>
      </c>
      <c r="B399" s="10">
        <v>50</v>
      </c>
      <c r="C399" s="13" t="s">
        <v>973</v>
      </c>
      <c r="D399" s="13" t="s">
        <v>978</v>
      </c>
      <c r="E399" s="13" t="s">
        <v>982</v>
      </c>
      <c r="F399" s="10">
        <v>8</v>
      </c>
      <c r="G399" s="10"/>
      <c r="H399" s="1">
        <v>1993</v>
      </c>
      <c r="I399" s="1">
        <v>1733</v>
      </c>
      <c r="J399" s="1">
        <v>1733.4</v>
      </c>
      <c r="K399" s="2">
        <v>5.01</v>
      </c>
      <c r="L399">
        <v>1733</v>
      </c>
      <c r="M399">
        <v>1734</v>
      </c>
      <c r="N399">
        <v>1734</v>
      </c>
      <c r="O399">
        <v>1733</v>
      </c>
      <c r="P399">
        <v>1733</v>
      </c>
      <c r="S399">
        <v>1746</v>
      </c>
      <c r="T399">
        <v>1751.2</v>
      </c>
      <c r="U399" s="17">
        <v>13.15131246</v>
      </c>
      <c r="V399" s="60">
        <v>1795</v>
      </c>
      <c r="W399" s="60">
        <v>1787</v>
      </c>
      <c r="X399" s="60">
        <v>1795</v>
      </c>
      <c r="Y399" s="60">
        <v>1794</v>
      </c>
      <c r="Z399" s="60">
        <v>1792</v>
      </c>
    </row>
    <row r="400" spans="1:26" x14ac:dyDescent="0.6">
      <c r="A400" s="6" t="s">
        <v>803</v>
      </c>
      <c r="B400" s="10">
        <v>50</v>
      </c>
      <c r="C400" s="13" t="s">
        <v>973</v>
      </c>
      <c r="D400" s="13" t="s">
        <v>978</v>
      </c>
      <c r="E400" s="13" t="s">
        <v>982</v>
      </c>
      <c r="F400" s="10">
        <v>9</v>
      </c>
      <c r="G400" s="10"/>
      <c r="H400" s="1">
        <v>2119</v>
      </c>
      <c r="I400" s="1">
        <v>1698</v>
      </c>
      <c r="J400" s="1">
        <v>1698.8</v>
      </c>
      <c r="K400" s="2">
        <v>5.01</v>
      </c>
      <c r="L400">
        <v>1699</v>
      </c>
      <c r="M400">
        <v>1698</v>
      </c>
      <c r="N400">
        <v>1698</v>
      </c>
      <c r="O400">
        <v>1699</v>
      </c>
      <c r="P400">
        <v>1700</v>
      </c>
      <c r="S400">
        <v>1713</v>
      </c>
      <c r="T400">
        <v>1714.6</v>
      </c>
      <c r="U400" s="17">
        <v>14.457770399999999</v>
      </c>
      <c r="V400" s="60">
        <v>1762</v>
      </c>
      <c r="W400" s="60">
        <v>1767</v>
      </c>
      <c r="X400" s="60">
        <v>1761</v>
      </c>
      <c r="Y400" s="60">
        <v>1768</v>
      </c>
      <c r="Z400" s="60">
        <v>1764</v>
      </c>
    </row>
    <row r="401" spans="1:26" x14ac:dyDescent="0.6">
      <c r="A401" s="6" t="s">
        <v>804</v>
      </c>
      <c r="B401" s="10">
        <v>50</v>
      </c>
      <c r="C401" s="13" t="s">
        <v>973</v>
      </c>
      <c r="D401" s="13" t="s">
        <v>978</v>
      </c>
      <c r="E401" s="13" t="s">
        <v>982</v>
      </c>
      <c r="F401" s="10">
        <v>10</v>
      </c>
      <c r="G401" s="10"/>
      <c r="H401" s="1">
        <v>2151</v>
      </c>
      <c r="I401" s="1">
        <v>1705</v>
      </c>
      <c r="J401" s="1">
        <v>1706.6</v>
      </c>
      <c r="K401" s="2">
        <v>5.01</v>
      </c>
      <c r="L401">
        <v>1706</v>
      </c>
      <c r="M401">
        <v>1708</v>
      </c>
      <c r="N401">
        <v>1708</v>
      </c>
      <c r="O401">
        <v>1706</v>
      </c>
      <c r="P401">
        <v>1705</v>
      </c>
      <c r="S401">
        <v>1721</v>
      </c>
      <c r="T401">
        <v>1722.2</v>
      </c>
      <c r="U401" s="17">
        <v>15.03830784</v>
      </c>
      <c r="V401" s="60">
        <v>1793</v>
      </c>
      <c r="W401" s="60">
        <v>1787</v>
      </c>
      <c r="X401" s="60">
        <v>1794</v>
      </c>
      <c r="Y401" s="60">
        <v>1785</v>
      </c>
      <c r="Z401" s="60">
        <v>1785</v>
      </c>
    </row>
    <row r="402" spans="1:26" x14ac:dyDescent="0.6">
      <c r="A402" s="6" t="s">
        <v>805</v>
      </c>
      <c r="B402" s="10">
        <v>75</v>
      </c>
      <c r="C402" s="12" t="s">
        <v>971</v>
      </c>
      <c r="D402" s="13" t="s">
        <v>977</v>
      </c>
      <c r="E402" s="13" t="s">
        <v>981</v>
      </c>
      <c r="F402" s="10">
        <v>1</v>
      </c>
      <c r="G402" s="10"/>
      <c r="H402" s="1">
        <v>1696</v>
      </c>
      <c r="I402" s="1">
        <v>1450</v>
      </c>
      <c r="J402" s="1">
        <v>1451</v>
      </c>
      <c r="K402" s="2">
        <v>7.51</v>
      </c>
      <c r="L402">
        <v>1450</v>
      </c>
      <c r="M402">
        <v>1451</v>
      </c>
      <c r="N402">
        <v>1451</v>
      </c>
      <c r="O402">
        <v>1451</v>
      </c>
      <c r="P402">
        <v>1452</v>
      </c>
      <c r="S402">
        <v>1466</v>
      </c>
      <c r="T402">
        <v>1470</v>
      </c>
      <c r="U402" s="17">
        <v>25.571850260000001</v>
      </c>
      <c r="V402" s="60">
        <v>1553</v>
      </c>
      <c r="W402" s="60">
        <v>1556</v>
      </c>
      <c r="X402" s="60">
        <v>1560</v>
      </c>
      <c r="Y402" s="60">
        <v>1554</v>
      </c>
      <c r="Z402" s="60">
        <v>1540</v>
      </c>
    </row>
    <row r="403" spans="1:26" x14ac:dyDescent="0.6">
      <c r="A403" s="6" t="s">
        <v>806</v>
      </c>
      <c r="B403" s="10">
        <v>75</v>
      </c>
      <c r="C403" s="12" t="s">
        <v>972</v>
      </c>
      <c r="D403" s="13" t="s">
        <v>977</v>
      </c>
      <c r="E403" s="13" t="s">
        <v>983</v>
      </c>
      <c r="F403" s="10">
        <v>2</v>
      </c>
      <c r="G403" s="10"/>
      <c r="H403" s="1">
        <v>1658</v>
      </c>
      <c r="I403" s="1">
        <v>1438</v>
      </c>
      <c r="J403" s="1">
        <v>1438.4</v>
      </c>
      <c r="K403" s="2">
        <v>7.51</v>
      </c>
      <c r="L403">
        <v>1438</v>
      </c>
      <c r="M403">
        <v>1438</v>
      </c>
      <c r="N403">
        <v>1439</v>
      </c>
      <c r="O403">
        <v>1439</v>
      </c>
      <c r="P403">
        <v>1438</v>
      </c>
      <c r="S403">
        <v>1454</v>
      </c>
      <c r="T403">
        <v>1455.6</v>
      </c>
      <c r="U403" s="17">
        <v>26.843696820000002</v>
      </c>
      <c r="V403" s="60">
        <v>1530</v>
      </c>
      <c r="W403" s="60">
        <v>1544</v>
      </c>
      <c r="X403" s="60">
        <v>1541</v>
      </c>
      <c r="Y403" s="60">
        <v>1538</v>
      </c>
      <c r="Z403" s="60">
        <v>1539</v>
      </c>
    </row>
    <row r="404" spans="1:26" x14ac:dyDescent="0.6">
      <c r="A404" s="6" t="s">
        <v>807</v>
      </c>
      <c r="B404" s="10">
        <v>75</v>
      </c>
      <c r="C404" s="12" t="s">
        <v>970</v>
      </c>
      <c r="D404" s="13" t="s">
        <v>976</v>
      </c>
      <c r="E404" s="13" t="s">
        <v>980</v>
      </c>
      <c r="F404" s="10">
        <v>3</v>
      </c>
      <c r="G404" s="10"/>
      <c r="H404" s="1">
        <v>1664</v>
      </c>
      <c r="I404" s="1">
        <v>1454</v>
      </c>
      <c r="J404" s="1">
        <v>1455</v>
      </c>
      <c r="K404" s="2">
        <v>7.51</v>
      </c>
      <c r="L404">
        <v>1455</v>
      </c>
      <c r="M404">
        <v>1454</v>
      </c>
      <c r="N404">
        <v>1456</v>
      </c>
      <c r="O404">
        <v>1454</v>
      </c>
      <c r="P404">
        <v>1456</v>
      </c>
      <c r="S404">
        <v>1465</v>
      </c>
      <c r="T404">
        <v>1469.8</v>
      </c>
      <c r="U404" s="17">
        <v>25.62638192</v>
      </c>
      <c r="V404" s="60">
        <v>1566</v>
      </c>
      <c r="W404" s="60">
        <v>1561</v>
      </c>
      <c r="X404" s="60">
        <v>1557</v>
      </c>
      <c r="Y404" s="60">
        <v>1557</v>
      </c>
      <c r="Z404" s="60">
        <v>1557</v>
      </c>
    </row>
    <row r="405" spans="1:26" x14ac:dyDescent="0.6">
      <c r="A405" s="6" t="s">
        <v>808</v>
      </c>
      <c r="B405" s="10">
        <v>75</v>
      </c>
      <c r="C405" s="12" t="s">
        <v>970</v>
      </c>
      <c r="D405" s="13" t="s">
        <v>976</v>
      </c>
      <c r="E405" s="13" t="s">
        <v>980</v>
      </c>
      <c r="F405" s="10">
        <v>4</v>
      </c>
      <c r="G405" s="10"/>
      <c r="H405" s="1">
        <v>1612</v>
      </c>
      <c r="I405" s="1">
        <v>1456</v>
      </c>
      <c r="J405" s="1">
        <v>1457</v>
      </c>
      <c r="K405" s="2">
        <v>7.51</v>
      </c>
      <c r="L405">
        <v>1457</v>
      </c>
      <c r="M405">
        <v>1457</v>
      </c>
      <c r="N405">
        <v>1457</v>
      </c>
      <c r="O405">
        <v>1456</v>
      </c>
      <c r="P405">
        <v>1458</v>
      </c>
      <c r="S405">
        <v>1472</v>
      </c>
      <c r="T405">
        <v>1474</v>
      </c>
      <c r="U405" s="17">
        <v>24.631030840000001</v>
      </c>
      <c r="V405" s="60">
        <v>1564</v>
      </c>
      <c r="W405" s="60">
        <v>1567</v>
      </c>
      <c r="X405" s="60">
        <v>1560</v>
      </c>
      <c r="Y405" s="60">
        <v>1563</v>
      </c>
      <c r="Z405" s="60">
        <v>1558</v>
      </c>
    </row>
    <row r="406" spans="1:26" x14ac:dyDescent="0.6">
      <c r="A406" s="6" t="s">
        <v>809</v>
      </c>
      <c r="B406" s="10">
        <v>75</v>
      </c>
      <c r="C406" s="12" t="s">
        <v>970</v>
      </c>
      <c r="D406" s="13" t="s">
        <v>976</v>
      </c>
      <c r="E406" s="13" t="s">
        <v>980</v>
      </c>
      <c r="F406" s="10">
        <v>5</v>
      </c>
      <c r="G406" s="10"/>
      <c r="H406" s="1">
        <v>1794</v>
      </c>
      <c r="I406" s="1">
        <v>1439</v>
      </c>
      <c r="J406" s="1">
        <v>1440.6</v>
      </c>
      <c r="K406" s="2">
        <v>7.51</v>
      </c>
      <c r="L406">
        <v>1440</v>
      </c>
      <c r="M406">
        <v>1441</v>
      </c>
      <c r="N406">
        <v>1441</v>
      </c>
      <c r="O406">
        <v>1442</v>
      </c>
      <c r="P406">
        <v>1439</v>
      </c>
      <c r="S406">
        <v>1454</v>
      </c>
      <c r="T406">
        <v>1458.6</v>
      </c>
      <c r="U406" s="17">
        <v>23.835020759999999</v>
      </c>
      <c r="V406" s="60">
        <v>1546</v>
      </c>
      <c r="W406" s="60">
        <v>1546</v>
      </c>
      <c r="X406" s="60">
        <v>1543</v>
      </c>
      <c r="Y406" s="60">
        <v>1538</v>
      </c>
      <c r="Z406" s="60">
        <v>1545</v>
      </c>
    </row>
    <row r="407" spans="1:26" x14ac:dyDescent="0.6">
      <c r="A407" s="6" t="s">
        <v>810</v>
      </c>
      <c r="B407" s="10">
        <v>75</v>
      </c>
      <c r="C407" s="12" t="s">
        <v>970</v>
      </c>
      <c r="D407" s="13" t="s">
        <v>976</v>
      </c>
      <c r="E407" s="13" t="s">
        <v>980</v>
      </c>
      <c r="F407" s="10">
        <v>6</v>
      </c>
      <c r="G407" s="10"/>
      <c r="H407" s="1">
        <v>1733</v>
      </c>
      <c r="I407" s="1">
        <v>1456</v>
      </c>
      <c r="J407" s="1">
        <v>1457</v>
      </c>
      <c r="K407" s="2">
        <v>7.51</v>
      </c>
      <c r="L407">
        <v>1458</v>
      </c>
      <c r="M407">
        <v>1457</v>
      </c>
      <c r="N407">
        <v>1457</v>
      </c>
      <c r="O407">
        <v>1457</v>
      </c>
      <c r="P407">
        <v>1456</v>
      </c>
      <c r="S407">
        <v>1467</v>
      </c>
      <c r="T407">
        <v>1474.2</v>
      </c>
      <c r="U407" s="17">
        <v>24.725307699999998</v>
      </c>
      <c r="V407" s="60">
        <v>1566</v>
      </c>
      <c r="W407" s="60">
        <v>1565</v>
      </c>
      <c r="X407" s="60">
        <v>1556</v>
      </c>
      <c r="Y407" s="60">
        <v>1558</v>
      </c>
      <c r="Z407" s="60">
        <v>1559</v>
      </c>
    </row>
    <row r="408" spans="1:26" x14ac:dyDescent="0.6">
      <c r="A408" s="6" t="s">
        <v>811</v>
      </c>
      <c r="B408" s="10">
        <v>75</v>
      </c>
      <c r="C408" s="12" t="s">
        <v>970</v>
      </c>
      <c r="D408" s="13" t="s">
        <v>976</v>
      </c>
      <c r="E408" s="13" t="s">
        <v>980</v>
      </c>
      <c r="F408" s="10">
        <v>7</v>
      </c>
      <c r="G408" s="10"/>
      <c r="H408" s="1">
        <v>1745</v>
      </c>
      <c r="I408" s="1">
        <v>1459</v>
      </c>
      <c r="J408" s="1">
        <v>1459.6</v>
      </c>
      <c r="K408" s="2">
        <v>7.51</v>
      </c>
      <c r="L408">
        <v>1460</v>
      </c>
      <c r="M408">
        <v>1459</v>
      </c>
      <c r="N408">
        <v>1459</v>
      </c>
      <c r="O408">
        <v>1460</v>
      </c>
      <c r="P408">
        <v>1460</v>
      </c>
      <c r="S408">
        <v>1470</v>
      </c>
      <c r="T408">
        <v>1474.2</v>
      </c>
      <c r="U408" s="17">
        <v>24.887558160000001</v>
      </c>
      <c r="V408" s="60">
        <v>1547</v>
      </c>
      <c r="W408" s="60">
        <v>1558</v>
      </c>
      <c r="X408" s="60">
        <v>1560</v>
      </c>
      <c r="Y408" s="60">
        <v>1567</v>
      </c>
      <c r="Z408" s="60">
        <v>1563</v>
      </c>
    </row>
    <row r="409" spans="1:26" x14ac:dyDescent="0.6">
      <c r="A409" s="6" t="s">
        <v>812</v>
      </c>
      <c r="B409" s="10">
        <v>75</v>
      </c>
      <c r="C409" s="12" t="s">
        <v>970</v>
      </c>
      <c r="D409" s="13" t="s">
        <v>976</v>
      </c>
      <c r="E409" s="13" t="s">
        <v>980</v>
      </c>
      <c r="F409" s="10">
        <v>8</v>
      </c>
      <c r="G409" s="10"/>
      <c r="H409" s="1">
        <v>1696</v>
      </c>
      <c r="I409" s="1">
        <v>1466</v>
      </c>
      <c r="J409" s="1">
        <v>1466.8</v>
      </c>
      <c r="K409" s="2">
        <v>7.5</v>
      </c>
      <c r="L409">
        <v>1466</v>
      </c>
      <c r="M409">
        <v>1468</v>
      </c>
      <c r="N409">
        <v>1468</v>
      </c>
      <c r="O409">
        <v>1466</v>
      </c>
      <c r="P409">
        <v>1466</v>
      </c>
      <c r="S409">
        <v>1478</v>
      </c>
      <c r="T409">
        <v>1483</v>
      </c>
      <c r="U409" s="17">
        <v>24.767752059999999</v>
      </c>
      <c r="V409" s="60">
        <v>1563</v>
      </c>
      <c r="W409" s="60">
        <v>1562</v>
      </c>
      <c r="X409" s="60">
        <v>1566</v>
      </c>
      <c r="Y409" s="60">
        <v>1570</v>
      </c>
      <c r="Z409" s="60">
        <v>1563</v>
      </c>
    </row>
    <row r="410" spans="1:26" x14ac:dyDescent="0.6">
      <c r="A410" s="6" t="s">
        <v>813</v>
      </c>
      <c r="B410" s="10">
        <v>75</v>
      </c>
      <c r="C410" s="12" t="s">
        <v>970</v>
      </c>
      <c r="D410" s="13" t="s">
        <v>976</v>
      </c>
      <c r="E410" s="13" t="s">
        <v>980</v>
      </c>
      <c r="F410" s="10">
        <v>9</v>
      </c>
      <c r="G410" s="10"/>
      <c r="H410" s="1">
        <v>1706</v>
      </c>
      <c r="I410" s="1">
        <v>1452</v>
      </c>
      <c r="J410" s="1">
        <v>1453.6</v>
      </c>
      <c r="K410" s="2">
        <v>7.51</v>
      </c>
      <c r="L410">
        <v>1454</v>
      </c>
      <c r="M410">
        <v>1452</v>
      </c>
      <c r="N410">
        <v>1453</v>
      </c>
      <c r="O410">
        <v>1455</v>
      </c>
      <c r="P410">
        <v>1454</v>
      </c>
      <c r="S410">
        <v>1469</v>
      </c>
      <c r="T410">
        <v>1471.4</v>
      </c>
      <c r="U410" s="17">
        <v>25.240791980000001</v>
      </c>
      <c r="V410" s="60">
        <v>1570</v>
      </c>
      <c r="W410" s="60">
        <v>1566</v>
      </c>
      <c r="X410" s="60">
        <v>1563</v>
      </c>
      <c r="Y410" s="60">
        <v>1565</v>
      </c>
      <c r="Z410" s="60">
        <v>1567</v>
      </c>
    </row>
    <row r="411" spans="1:26" x14ac:dyDescent="0.6">
      <c r="A411" s="6" t="s">
        <v>814</v>
      </c>
      <c r="B411" s="10">
        <v>75</v>
      </c>
      <c r="C411" s="12" t="s">
        <v>970</v>
      </c>
      <c r="D411" s="13" t="s">
        <v>976</v>
      </c>
      <c r="E411" s="13" t="s">
        <v>980</v>
      </c>
      <c r="F411" s="10">
        <v>10</v>
      </c>
      <c r="G411" s="10"/>
      <c r="H411" s="1">
        <v>1699</v>
      </c>
      <c r="I411" s="1">
        <v>1432</v>
      </c>
      <c r="J411" s="1">
        <v>1432.8</v>
      </c>
      <c r="K411" s="2">
        <v>7.5</v>
      </c>
      <c r="L411">
        <v>1432</v>
      </c>
      <c r="M411">
        <v>1433</v>
      </c>
      <c r="N411">
        <v>1432</v>
      </c>
      <c r="O411">
        <v>1434</v>
      </c>
      <c r="P411">
        <v>1433</v>
      </c>
      <c r="S411">
        <v>1443</v>
      </c>
      <c r="T411">
        <v>1449.2</v>
      </c>
      <c r="U411" s="17">
        <v>25.437360600000002</v>
      </c>
      <c r="V411" s="60">
        <v>1541</v>
      </c>
      <c r="W411" s="60">
        <v>1540</v>
      </c>
      <c r="X411" s="60">
        <v>1540</v>
      </c>
      <c r="Y411" s="60">
        <v>1539</v>
      </c>
      <c r="Z411" s="60">
        <v>1543</v>
      </c>
    </row>
    <row r="412" spans="1:26" x14ac:dyDescent="0.6">
      <c r="A412" s="6" t="s">
        <v>815</v>
      </c>
      <c r="B412" s="10">
        <v>75</v>
      </c>
      <c r="C412" s="12" t="s">
        <v>970</v>
      </c>
      <c r="D412" s="13" t="s">
        <v>976</v>
      </c>
      <c r="E412" s="13" t="s">
        <v>984</v>
      </c>
      <c r="F412" s="10">
        <v>1</v>
      </c>
      <c r="G412" s="10"/>
      <c r="H412" s="1">
        <v>1874</v>
      </c>
      <c r="I412" s="1">
        <v>1451</v>
      </c>
      <c r="J412" s="1">
        <v>1451.4</v>
      </c>
      <c r="K412" s="2">
        <v>7.51</v>
      </c>
      <c r="L412">
        <v>1452</v>
      </c>
      <c r="M412">
        <v>1451</v>
      </c>
      <c r="N412">
        <v>1451</v>
      </c>
      <c r="O412">
        <v>1451</v>
      </c>
      <c r="P412">
        <v>1452</v>
      </c>
      <c r="S412">
        <v>1462</v>
      </c>
      <c r="T412">
        <v>1467.2</v>
      </c>
      <c r="U412" s="17">
        <v>25.1323875</v>
      </c>
      <c r="V412" s="60">
        <v>1563</v>
      </c>
      <c r="W412" s="60">
        <v>1561</v>
      </c>
      <c r="X412" s="60">
        <v>1564</v>
      </c>
      <c r="Y412" s="60">
        <v>1563</v>
      </c>
      <c r="Z412" s="60">
        <v>1557</v>
      </c>
    </row>
    <row r="413" spans="1:26" x14ac:dyDescent="0.6">
      <c r="A413" s="6" t="s">
        <v>816</v>
      </c>
      <c r="B413" s="10">
        <v>75</v>
      </c>
      <c r="C413" s="12" t="s">
        <v>970</v>
      </c>
      <c r="D413" s="13" t="s">
        <v>976</v>
      </c>
      <c r="E413" s="13" t="s">
        <v>985</v>
      </c>
      <c r="F413" s="10">
        <v>2</v>
      </c>
      <c r="G413" s="10"/>
      <c r="H413" s="1">
        <v>1872</v>
      </c>
      <c r="I413" s="1">
        <v>1439</v>
      </c>
      <c r="J413" s="1">
        <v>1439.2</v>
      </c>
      <c r="K413" s="2">
        <v>7.51</v>
      </c>
      <c r="L413">
        <v>1439</v>
      </c>
      <c r="M413">
        <v>1439</v>
      </c>
      <c r="N413">
        <v>1439</v>
      </c>
      <c r="O413">
        <v>1439</v>
      </c>
      <c r="P413">
        <v>1440</v>
      </c>
      <c r="S413">
        <v>1455</v>
      </c>
      <c r="T413">
        <v>1457.6</v>
      </c>
      <c r="U413" s="17">
        <v>25.525009220000001</v>
      </c>
      <c r="V413" s="60">
        <v>1553</v>
      </c>
      <c r="W413" s="60">
        <v>1538</v>
      </c>
      <c r="X413" s="60">
        <v>1544</v>
      </c>
      <c r="Y413" s="60">
        <v>1551</v>
      </c>
      <c r="Z413" s="60">
        <v>1542</v>
      </c>
    </row>
    <row r="414" spans="1:26" x14ac:dyDescent="0.6">
      <c r="A414" s="6" t="s">
        <v>817</v>
      </c>
      <c r="B414" s="10">
        <v>75</v>
      </c>
      <c r="C414" s="12" t="s">
        <v>970</v>
      </c>
      <c r="D414" s="13" t="s">
        <v>976</v>
      </c>
      <c r="E414" s="13" t="s">
        <v>982</v>
      </c>
      <c r="F414" s="10">
        <v>3</v>
      </c>
      <c r="G414" s="10"/>
      <c r="H414" s="1">
        <v>1804</v>
      </c>
      <c r="I414" s="1">
        <v>1453</v>
      </c>
      <c r="J414" s="1">
        <v>1455</v>
      </c>
      <c r="K414" s="2">
        <v>7.51</v>
      </c>
      <c r="L414">
        <v>1453</v>
      </c>
      <c r="M414">
        <v>1456</v>
      </c>
      <c r="N414">
        <v>1457</v>
      </c>
      <c r="O414">
        <v>1456</v>
      </c>
      <c r="P414">
        <v>1453</v>
      </c>
      <c r="S414">
        <v>1467</v>
      </c>
      <c r="T414">
        <v>1470.2</v>
      </c>
      <c r="U414" s="17">
        <v>25.075154699999999</v>
      </c>
      <c r="V414" s="60">
        <v>1565</v>
      </c>
      <c r="W414" s="60">
        <v>1568</v>
      </c>
      <c r="X414" s="60">
        <v>1564</v>
      </c>
      <c r="Y414" s="60">
        <v>1560</v>
      </c>
      <c r="Z414" s="60">
        <v>1564</v>
      </c>
    </row>
    <row r="415" spans="1:26" x14ac:dyDescent="0.6">
      <c r="A415" s="6" t="s">
        <v>818</v>
      </c>
      <c r="B415" s="10">
        <v>75</v>
      </c>
      <c r="C415" s="12" t="s">
        <v>970</v>
      </c>
      <c r="D415" s="13" t="s">
        <v>976</v>
      </c>
      <c r="E415" s="13" t="s">
        <v>982</v>
      </c>
      <c r="F415" s="10">
        <v>4</v>
      </c>
      <c r="G415" s="10"/>
      <c r="H415" s="1">
        <v>1761</v>
      </c>
      <c r="I415" s="1">
        <v>1456</v>
      </c>
      <c r="J415" s="1">
        <v>1457</v>
      </c>
      <c r="K415" s="2">
        <v>7.51</v>
      </c>
      <c r="L415">
        <v>1456</v>
      </c>
      <c r="M415">
        <v>1457</v>
      </c>
      <c r="N415">
        <v>1457</v>
      </c>
      <c r="O415">
        <v>1458</v>
      </c>
      <c r="P415">
        <v>1457</v>
      </c>
      <c r="S415">
        <v>1466</v>
      </c>
      <c r="T415">
        <v>1471.8</v>
      </c>
      <c r="U415" s="17">
        <v>25.1313323</v>
      </c>
      <c r="V415" s="60">
        <v>1565</v>
      </c>
      <c r="W415" s="60">
        <v>1562</v>
      </c>
      <c r="X415" s="60">
        <v>1558</v>
      </c>
      <c r="Y415" s="60">
        <v>1569</v>
      </c>
      <c r="Z415" s="60">
        <v>1556</v>
      </c>
    </row>
    <row r="416" spans="1:26" x14ac:dyDescent="0.6">
      <c r="A416" s="6" t="s">
        <v>819</v>
      </c>
      <c r="B416" s="10">
        <v>75</v>
      </c>
      <c r="C416" s="12" t="s">
        <v>970</v>
      </c>
      <c r="D416" s="13" t="s">
        <v>976</v>
      </c>
      <c r="E416" s="13" t="s">
        <v>982</v>
      </c>
      <c r="F416" s="10">
        <v>5</v>
      </c>
      <c r="G416" s="10"/>
      <c r="H416" s="1">
        <v>2054</v>
      </c>
      <c r="I416" s="1">
        <v>1440</v>
      </c>
      <c r="J416" s="1">
        <v>1441</v>
      </c>
      <c r="K416" s="2">
        <v>7.5</v>
      </c>
      <c r="L416">
        <v>1442</v>
      </c>
      <c r="M416">
        <v>1441</v>
      </c>
      <c r="N416">
        <v>1440</v>
      </c>
      <c r="O416">
        <v>1441</v>
      </c>
      <c r="P416">
        <v>1441</v>
      </c>
      <c r="S416">
        <v>1457</v>
      </c>
      <c r="T416">
        <v>1458.2</v>
      </c>
      <c r="U416" s="17">
        <v>25.412729760000001</v>
      </c>
      <c r="V416" s="60">
        <v>1551</v>
      </c>
      <c r="W416" s="60">
        <v>1541</v>
      </c>
      <c r="X416" s="60">
        <v>1545</v>
      </c>
      <c r="Y416" s="60">
        <v>1549</v>
      </c>
      <c r="Z416" s="60">
        <v>1551</v>
      </c>
    </row>
    <row r="417" spans="1:26" x14ac:dyDescent="0.6">
      <c r="A417" s="6" t="s">
        <v>820</v>
      </c>
      <c r="B417" s="10">
        <v>75</v>
      </c>
      <c r="C417" s="12" t="s">
        <v>970</v>
      </c>
      <c r="D417" s="13" t="s">
        <v>976</v>
      </c>
      <c r="E417" s="13" t="s">
        <v>982</v>
      </c>
      <c r="F417" s="10">
        <v>6</v>
      </c>
      <c r="G417" s="10"/>
      <c r="H417" s="1">
        <v>1925</v>
      </c>
      <c r="I417" s="1">
        <v>1457</v>
      </c>
      <c r="J417" s="1">
        <v>1458</v>
      </c>
      <c r="K417" s="2">
        <v>7.51</v>
      </c>
      <c r="L417">
        <v>1457</v>
      </c>
      <c r="M417">
        <v>1459</v>
      </c>
      <c r="N417">
        <v>1458</v>
      </c>
      <c r="O417">
        <v>1458</v>
      </c>
      <c r="P417">
        <v>1458</v>
      </c>
      <c r="S417">
        <v>1468</v>
      </c>
      <c r="T417">
        <v>1470.8</v>
      </c>
      <c r="U417" s="17">
        <v>25.01922386</v>
      </c>
      <c r="V417" s="60">
        <v>1571</v>
      </c>
      <c r="W417" s="60">
        <v>1568</v>
      </c>
      <c r="X417" s="60">
        <v>1562</v>
      </c>
      <c r="Y417" s="60">
        <v>1576</v>
      </c>
      <c r="Z417" s="60">
        <v>1554</v>
      </c>
    </row>
    <row r="418" spans="1:26" x14ac:dyDescent="0.6">
      <c r="A418" s="6" t="s">
        <v>821</v>
      </c>
      <c r="B418" s="10">
        <v>75</v>
      </c>
      <c r="C418" s="12" t="s">
        <v>970</v>
      </c>
      <c r="D418" s="13" t="s">
        <v>976</v>
      </c>
      <c r="E418" s="13" t="s">
        <v>982</v>
      </c>
      <c r="F418" s="10">
        <v>7</v>
      </c>
      <c r="G418" s="10"/>
      <c r="H418" s="1">
        <v>2013</v>
      </c>
      <c r="I418" s="1">
        <v>1459</v>
      </c>
      <c r="J418" s="1">
        <v>1459.6</v>
      </c>
      <c r="K418" s="2">
        <v>7.51</v>
      </c>
      <c r="L418">
        <v>1460</v>
      </c>
      <c r="M418">
        <v>1459</v>
      </c>
      <c r="N418">
        <v>1460</v>
      </c>
      <c r="O418">
        <v>1460</v>
      </c>
      <c r="P418">
        <v>1459</v>
      </c>
      <c r="S418">
        <v>1472</v>
      </c>
      <c r="T418">
        <v>1476.8</v>
      </c>
      <c r="U418" s="17">
        <v>24.767507219999999</v>
      </c>
      <c r="V418" s="60">
        <v>1561</v>
      </c>
      <c r="W418" s="60">
        <v>1558</v>
      </c>
      <c r="X418" s="60">
        <v>1564</v>
      </c>
      <c r="Y418" s="60">
        <v>1559</v>
      </c>
      <c r="Z418" s="60">
        <v>1563</v>
      </c>
    </row>
    <row r="419" spans="1:26" x14ac:dyDescent="0.6">
      <c r="A419" s="6" t="s">
        <v>822</v>
      </c>
      <c r="B419" s="10">
        <v>75</v>
      </c>
      <c r="C419" s="12" t="s">
        <v>970</v>
      </c>
      <c r="D419" s="13" t="s">
        <v>976</v>
      </c>
      <c r="E419" s="13" t="s">
        <v>982</v>
      </c>
      <c r="F419" s="10">
        <v>8</v>
      </c>
      <c r="G419" s="10"/>
      <c r="H419" s="1">
        <v>1896</v>
      </c>
      <c r="I419" s="1">
        <v>1467</v>
      </c>
      <c r="J419" s="1">
        <v>1467.6</v>
      </c>
      <c r="K419" s="2">
        <v>7.51</v>
      </c>
      <c r="L419">
        <v>1468</v>
      </c>
      <c r="M419">
        <v>1467</v>
      </c>
      <c r="N419">
        <v>1469</v>
      </c>
      <c r="O419">
        <v>1467</v>
      </c>
      <c r="P419">
        <v>1467</v>
      </c>
      <c r="S419">
        <v>1476</v>
      </c>
      <c r="T419">
        <v>1482.6</v>
      </c>
      <c r="U419" s="17">
        <v>25.59717732</v>
      </c>
      <c r="V419" s="60">
        <v>1582</v>
      </c>
      <c r="W419" s="60">
        <v>1570</v>
      </c>
      <c r="X419" s="60">
        <v>1576</v>
      </c>
      <c r="Y419" s="60">
        <v>1581</v>
      </c>
      <c r="Z419" s="60">
        <v>1573</v>
      </c>
    </row>
    <row r="420" spans="1:26" x14ac:dyDescent="0.6">
      <c r="A420" s="6" t="s">
        <v>823</v>
      </c>
      <c r="B420" s="10">
        <v>75</v>
      </c>
      <c r="C420" s="12" t="s">
        <v>970</v>
      </c>
      <c r="D420" s="13" t="s">
        <v>976</v>
      </c>
      <c r="E420" s="13" t="s">
        <v>982</v>
      </c>
      <c r="F420" s="10">
        <v>9</v>
      </c>
      <c r="G420" s="10"/>
      <c r="H420" s="1">
        <v>1935</v>
      </c>
      <c r="I420" s="1">
        <v>1453</v>
      </c>
      <c r="J420" s="1">
        <v>1453.6</v>
      </c>
      <c r="K420" s="2">
        <v>7.51</v>
      </c>
      <c r="L420">
        <v>1453</v>
      </c>
      <c r="M420">
        <v>1453</v>
      </c>
      <c r="N420">
        <v>1453</v>
      </c>
      <c r="O420">
        <v>1454</v>
      </c>
      <c r="P420">
        <v>1455</v>
      </c>
      <c r="S420">
        <v>1465</v>
      </c>
      <c r="T420">
        <v>1469</v>
      </c>
      <c r="U420" s="17">
        <v>26.14884026</v>
      </c>
      <c r="V420" s="60">
        <v>1565</v>
      </c>
      <c r="W420" s="60">
        <v>1573</v>
      </c>
      <c r="X420" s="60">
        <v>1574</v>
      </c>
      <c r="Y420" s="60">
        <v>1581</v>
      </c>
      <c r="Z420" s="60">
        <v>1574</v>
      </c>
    </row>
    <row r="421" spans="1:26" x14ac:dyDescent="0.6">
      <c r="A421" s="6" t="s">
        <v>824</v>
      </c>
      <c r="B421" s="10">
        <v>75</v>
      </c>
      <c r="C421" s="12" t="s">
        <v>970</v>
      </c>
      <c r="D421" s="13" t="s">
        <v>976</v>
      </c>
      <c r="E421" s="13" t="s">
        <v>982</v>
      </c>
      <c r="F421" s="10">
        <v>10</v>
      </c>
      <c r="G421" s="10"/>
      <c r="H421" s="1">
        <v>1937</v>
      </c>
      <c r="I421" s="1">
        <v>1433</v>
      </c>
      <c r="J421" s="1">
        <v>1433.4</v>
      </c>
      <c r="K421" s="2">
        <v>7.51</v>
      </c>
      <c r="L421">
        <v>1433</v>
      </c>
      <c r="M421">
        <v>1433</v>
      </c>
      <c r="N421">
        <v>1434</v>
      </c>
      <c r="O421">
        <v>1434</v>
      </c>
      <c r="P421">
        <v>1433</v>
      </c>
      <c r="S421">
        <v>1446</v>
      </c>
      <c r="T421">
        <v>1450.6</v>
      </c>
      <c r="U421" s="17">
        <v>26.2522427</v>
      </c>
      <c r="V421" s="60">
        <v>1546</v>
      </c>
      <c r="W421" s="60">
        <v>1555</v>
      </c>
      <c r="X421" s="60">
        <v>1555</v>
      </c>
      <c r="Y421" s="60">
        <v>1556</v>
      </c>
      <c r="Z421" s="60">
        <v>1544</v>
      </c>
    </row>
    <row r="422" spans="1:26" x14ac:dyDescent="0.6">
      <c r="A422" s="6" t="s">
        <v>825</v>
      </c>
      <c r="B422" s="10">
        <v>75</v>
      </c>
      <c r="C422" s="12" t="s">
        <v>970</v>
      </c>
      <c r="D422" s="13" t="s">
        <v>979</v>
      </c>
      <c r="E422" s="13" t="s">
        <v>981</v>
      </c>
      <c r="F422" s="10">
        <v>1</v>
      </c>
      <c r="G422" s="10"/>
      <c r="H422" s="1">
        <v>2024</v>
      </c>
      <c r="I422" s="1">
        <v>1820</v>
      </c>
      <c r="J422" s="1">
        <v>1820.4</v>
      </c>
      <c r="K422" s="2">
        <v>7.51</v>
      </c>
      <c r="L422">
        <v>1821</v>
      </c>
      <c r="M422">
        <v>1820</v>
      </c>
      <c r="N422">
        <v>1820</v>
      </c>
      <c r="O422">
        <v>1821</v>
      </c>
      <c r="P422">
        <v>1820</v>
      </c>
      <c r="S422">
        <v>1833</v>
      </c>
      <c r="T422">
        <v>1837.8</v>
      </c>
      <c r="U422" s="17">
        <v>24.572610879999999</v>
      </c>
      <c r="V422" s="60">
        <v>1923</v>
      </c>
      <c r="W422" s="60">
        <v>1927</v>
      </c>
      <c r="X422" s="60">
        <v>1917</v>
      </c>
      <c r="Y422" s="60">
        <v>1927</v>
      </c>
      <c r="Z422" s="60">
        <v>1920</v>
      </c>
    </row>
    <row r="423" spans="1:26" x14ac:dyDescent="0.6">
      <c r="A423" s="6" t="s">
        <v>826</v>
      </c>
      <c r="B423" s="10">
        <v>75</v>
      </c>
      <c r="C423" s="12" t="s">
        <v>970</v>
      </c>
      <c r="D423" s="13" t="s">
        <v>979</v>
      </c>
      <c r="E423" s="13" t="s">
        <v>983</v>
      </c>
      <c r="F423" s="10">
        <v>2</v>
      </c>
      <c r="G423" s="10"/>
      <c r="H423" s="1">
        <v>1987</v>
      </c>
      <c r="I423" s="1">
        <v>1809</v>
      </c>
      <c r="J423" s="1">
        <v>1809.4</v>
      </c>
      <c r="K423" s="2">
        <v>7.51</v>
      </c>
      <c r="L423">
        <v>1809</v>
      </c>
      <c r="M423">
        <v>1811</v>
      </c>
      <c r="N423">
        <v>1809</v>
      </c>
      <c r="O423">
        <v>1809</v>
      </c>
      <c r="P423">
        <v>1809</v>
      </c>
      <c r="S423">
        <v>1821</v>
      </c>
      <c r="T423">
        <v>1824</v>
      </c>
      <c r="U423" s="17">
        <v>24.102673639999999</v>
      </c>
      <c r="V423" s="60">
        <v>1905</v>
      </c>
      <c r="W423" s="60">
        <v>1908</v>
      </c>
      <c r="X423" s="60">
        <v>1910</v>
      </c>
      <c r="Y423" s="60">
        <v>1910</v>
      </c>
      <c r="Z423" s="60">
        <v>1913</v>
      </c>
    </row>
    <row r="424" spans="1:26" x14ac:dyDescent="0.6">
      <c r="A424" s="6" t="s">
        <v>827</v>
      </c>
      <c r="B424" s="10">
        <v>75</v>
      </c>
      <c r="C424" s="12" t="s">
        <v>970</v>
      </c>
      <c r="D424" s="13" t="s">
        <v>978</v>
      </c>
      <c r="E424" s="13" t="s">
        <v>980</v>
      </c>
      <c r="F424" s="10">
        <v>3</v>
      </c>
      <c r="G424" s="10"/>
      <c r="H424" s="1">
        <v>1999</v>
      </c>
      <c r="I424" s="1">
        <v>1825</v>
      </c>
      <c r="J424" s="1">
        <v>1825.4</v>
      </c>
      <c r="K424" s="2">
        <v>7.51</v>
      </c>
      <c r="L424">
        <v>1826</v>
      </c>
      <c r="M424">
        <v>1825</v>
      </c>
      <c r="N424">
        <v>1826</v>
      </c>
      <c r="O424">
        <v>1825</v>
      </c>
      <c r="P424">
        <v>1825</v>
      </c>
      <c r="S424">
        <v>1835</v>
      </c>
      <c r="T424">
        <v>1838.6</v>
      </c>
      <c r="U424" s="17">
        <v>24.179446540000001</v>
      </c>
      <c r="V424" s="60">
        <v>1929</v>
      </c>
      <c r="W424" s="60">
        <v>1930</v>
      </c>
      <c r="X424" s="60">
        <v>1929</v>
      </c>
      <c r="Y424" s="60">
        <v>1921</v>
      </c>
      <c r="Z424" s="60">
        <v>1923</v>
      </c>
    </row>
    <row r="425" spans="1:26" x14ac:dyDescent="0.6">
      <c r="A425" s="6" t="s">
        <v>828</v>
      </c>
      <c r="B425" s="10">
        <v>75</v>
      </c>
      <c r="C425" s="12" t="s">
        <v>970</v>
      </c>
      <c r="D425" s="13" t="s">
        <v>978</v>
      </c>
      <c r="E425" s="13" t="s">
        <v>980</v>
      </c>
      <c r="F425" s="10">
        <v>4</v>
      </c>
      <c r="G425" s="10"/>
      <c r="H425" s="1">
        <v>1950</v>
      </c>
      <c r="I425" s="1">
        <v>1826</v>
      </c>
      <c r="J425" s="1">
        <v>1826.6</v>
      </c>
      <c r="K425" s="2">
        <v>7.51</v>
      </c>
      <c r="L425">
        <v>1826</v>
      </c>
      <c r="M425">
        <v>1827</v>
      </c>
      <c r="N425">
        <v>1826</v>
      </c>
      <c r="O425">
        <v>1827</v>
      </c>
      <c r="P425">
        <v>1827</v>
      </c>
      <c r="S425">
        <v>1838</v>
      </c>
      <c r="T425">
        <v>1840.8</v>
      </c>
      <c r="U425" s="17">
        <v>24.44275644</v>
      </c>
      <c r="V425" s="60">
        <v>1928</v>
      </c>
      <c r="W425" s="60">
        <v>1933</v>
      </c>
      <c r="X425" s="60">
        <v>1931</v>
      </c>
      <c r="Y425" s="60">
        <v>1938</v>
      </c>
      <c r="Z425" s="60">
        <v>1931</v>
      </c>
    </row>
    <row r="426" spans="1:26" x14ac:dyDescent="0.6">
      <c r="A426" s="6" t="s">
        <v>829</v>
      </c>
      <c r="B426" s="10">
        <v>75</v>
      </c>
      <c r="C426" s="12" t="s">
        <v>970</v>
      </c>
      <c r="D426" s="13" t="s">
        <v>978</v>
      </c>
      <c r="E426" s="13" t="s">
        <v>980</v>
      </c>
      <c r="F426" s="10">
        <v>5</v>
      </c>
      <c r="G426" s="10"/>
      <c r="H426" s="1">
        <v>2099</v>
      </c>
      <c r="I426" s="1">
        <v>1809</v>
      </c>
      <c r="J426" s="1">
        <v>1810.2</v>
      </c>
      <c r="K426" s="2">
        <v>7.5</v>
      </c>
      <c r="L426">
        <v>1810</v>
      </c>
      <c r="M426">
        <v>1810</v>
      </c>
      <c r="N426">
        <v>1811</v>
      </c>
      <c r="O426">
        <v>1809</v>
      </c>
      <c r="P426">
        <v>1811</v>
      </c>
      <c r="S426">
        <v>1821</v>
      </c>
      <c r="T426">
        <v>1827.2</v>
      </c>
      <c r="U426" s="17">
        <v>24.94005962</v>
      </c>
      <c r="V426" s="60">
        <v>1907</v>
      </c>
      <c r="W426" s="60">
        <v>1914</v>
      </c>
      <c r="X426" s="60">
        <v>1908</v>
      </c>
      <c r="Y426" s="60">
        <v>1905</v>
      </c>
      <c r="Z426" s="60">
        <v>1909</v>
      </c>
    </row>
    <row r="427" spans="1:26" x14ac:dyDescent="0.6">
      <c r="A427" s="6" t="s">
        <v>830</v>
      </c>
      <c r="B427" s="10">
        <v>75</v>
      </c>
      <c r="C427" s="12" t="s">
        <v>970</v>
      </c>
      <c r="D427" s="13" t="s">
        <v>978</v>
      </c>
      <c r="E427" s="13" t="s">
        <v>980</v>
      </c>
      <c r="F427" s="10">
        <v>6</v>
      </c>
      <c r="G427" s="10"/>
      <c r="H427" s="1">
        <v>2058</v>
      </c>
      <c r="I427" s="1">
        <v>1826</v>
      </c>
      <c r="J427" s="1">
        <v>1826.8</v>
      </c>
      <c r="K427" s="2">
        <v>7.5</v>
      </c>
      <c r="L427">
        <v>1827</v>
      </c>
      <c r="M427">
        <v>1828</v>
      </c>
      <c r="N427">
        <v>1826</v>
      </c>
      <c r="O427">
        <v>1826</v>
      </c>
      <c r="P427">
        <v>1827</v>
      </c>
      <c r="S427">
        <v>1834</v>
      </c>
      <c r="T427">
        <v>1838.4</v>
      </c>
      <c r="U427" s="17">
        <v>24.287488199999999</v>
      </c>
      <c r="V427" s="60">
        <v>1922</v>
      </c>
      <c r="W427" s="60">
        <v>1926</v>
      </c>
      <c r="X427" s="60">
        <v>1936</v>
      </c>
      <c r="Y427" s="60">
        <v>1932</v>
      </c>
      <c r="Z427" s="60">
        <v>1934</v>
      </c>
    </row>
    <row r="428" spans="1:26" x14ac:dyDescent="0.6">
      <c r="A428" s="6" t="s">
        <v>831</v>
      </c>
      <c r="B428" s="10">
        <v>75</v>
      </c>
      <c r="C428" s="12" t="s">
        <v>970</v>
      </c>
      <c r="D428" s="13" t="s">
        <v>978</v>
      </c>
      <c r="E428" s="13" t="s">
        <v>980</v>
      </c>
      <c r="F428" s="10">
        <v>7</v>
      </c>
      <c r="G428" s="10"/>
      <c r="H428" s="1">
        <v>2061</v>
      </c>
      <c r="I428" s="1">
        <v>1828</v>
      </c>
      <c r="J428" s="1">
        <v>1829.2</v>
      </c>
      <c r="K428" s="2">
        <v>7.51</v>
      </c>
      <c r="L428">
        <v>1829</v>
      </c>
      <c r="M428">
        <v>1828</v>
      </c>
      <c r="N428">
        <v>1829</v>
      </c>
      <c r="O428">
        <v>1830</v>
      </c>
      <c r="P428">
        <v>1830</v>
      </c>
      <c r="S428">
        <v>1838</v>
      </c>
      <c r="T428">
        <v>1842.8</v>
      </c>
      <c r="U428" s="17">
        <v>24.940764699999999</v>
      </c>
      <c r="V428" s="60">
        <v>1926</v>
      </c>
      <c r="W428" s="60">
        <v>1929</v>
      </c>
      <c r="X428" s="60">
        <v>1925</v>
      </c>
      <c r="Y428" s="60">
        <v>1923</v>
      </c>
      <c r="Z428" s="60">
        <v>1927</v>
      </c>
    </row>
    <row r="429" spans="1:26" x14ac:dyDescent="0.6">
      <c r="A429" s="6" t="s">
        <v>832</v>
      </c>
      <c r="B429" s="10">
        <v>75</v>
      </c>
      <c r="C429" s="12" t="s">
        <v>970</v>
      </c>
      <c r="D429" s="13" t="s">
        <v>978</v>
      </c>
      <c r="E429" s="13" t="s">
        <v>980</v>
      </c>
      <c r="F429" s="10">
        <v>8</v>
      </c>
      <c r="G429" s="10"/>
      <c r="H429" s="1">
        <v>2016</v>
      </c>
      <c r="I429" s="1">
        <v>1836</v>
      </c>
      <c r="J429" s="1">
        <v>1836.6</v>
      </c>
      <c r="K429" s="2">
        <v>7.5</v>
      </c>
      <c r="L429">
        <v>1837</v>
      </c>
      <c r="M429">
        <v>1836</v>
      </c>
      <c r="N429">
        <v>1837</v>
      </c>
      <c r="O429">
        <v>1837</v>
      </c>
      <c r="P429">
        <v>1836</v>
      </c>
      <c r="S429">
        <v>1847</v>
      </c>
      <c r="T429">
        <v>1850.8</v>
      </c>
      <c r="U429" s="17">
        <v>24.986395380000001</v>
      </c>
      <c r="V429" s="60">
        <v>1935</v>
      </c>
      <c r="W429" s="60">
        <v>1931</v>
      </c>
      <c r="X429" s="60">
        <v>1935</v>
      </c>
      <c r="Y429" s="60">
        <v>1932</v>
      </c>
      <c r="Z429" s="60">
        <v>1934</v>
      </c>
    </row>
    <row r="430" spans="1:26" x14ac:dyDescent="0.6">
      <c r="A430" s="6" t="s">
        <v>833</v>
      </c>
      <c r="B430" s="10">
        <v>75</v>
      </c>
      <c r="C430" s="12" t="s">
        <v>970</v>
      </c>
      <c r="D430" s="13" t="s">
        <v>978</v>
      </c>
      <c r="E430" s="13" t="s">
        <v>980</v>
      </c>
      <c r="F430" s="10">
        <v>9</v>
      </c>
      <c r="G430" s="10"/>
      <c r="H430" s="1">
        <v>2025</v>
      </c>
      <c r="I430" s="1">
        <v>1822</v>
      </c>
      <c r="J430" s="1">
        <v>1823</v>
      </c>
      <c r="K430" s="2">
        <v>7.51</v>
      </c>
      <c r="L430">
        <v>1824</v>
      </c>
      <c r="M430">
        <v>1823</v>
      </c>
      <c r="N430">
        <v>1822</v>
      </c>
      <c r="O430">
        <v>1823</v>
      </c>
      <c r="P430">
        <v>1823</v>
      </c>
      <c r="S430">
        <v>1830</v>
      </c>
      <c r="T430">
        <v>1836.4</v>
      </c>
      <c r="U430" s="17">
        <v>24.813760479999999</v>
      </c>
      <c r="V430" s="60">
        <v>1927</v>
      </c>
      <c r="W430" s="60">
        <v>1935</v>
      </c>
      <c r="X430" s="60">
        <v>1933</v>
      </c>
      <c r="Y430" s="60">
        <v>1932</v>
      </c>
      <c r="Z430" s="60">
        <v>1929</v>
      </c>
    </row>
    <row r="431" spans="1:26" x14ac:dyDescent="0.6">
      <c r="A431" s="6" t="s">
        <v>834</v>
      </c>
      <c r="B431" s="10">
        <v>75</v>
      </c>
      <c r="C431" s="12" t="s">
        <v>970</v>
      </c>
      <c r="D431" s="13" t="s">
        <v>978</v>
      </c>
      <c r="E431" s="13" t="s">
        <v>980</v>
      </c>
      <c r="F431" s="10">
        <v>10</v>
      </c>
      <c r="G431" s="10"/>
      <c r="H431" s="1">
        <v>2015</v>
      </c>
      <c r="I431" s="1">
        <v>1802</v>
      </c>
      <c r="J431" s="1">
        <v>1802.8</v>
      </c>
      <c r="K431" s="2">
        <v>7.51</v>
      </c>
      <c r="L431">
        <v>1803</v>
      </c>
      <c r="M431">
        <v>1803</v>
      </c>
      <c r="N431">
        <v>1802</v>
      </c>
      <c r="O431">
        <v>1803</v>
      </c>
      <c r="P431">
        <v>1803</v>
      </c>
      <c r="S431">
        <v>1814</v>
      </c>
      <c r="T431">
        <v>1819.2</v>
      </c>
      <c r="U431" s="17">
        <v>25.077733340000002</v>
      </c>
      <c r="V431" s="60">
        <v>1913</v>
      </c>
      <c r="W431" s="60">
        <v>1910</v>
      </c>
      <c r="X431" s="60">
        <v>1908</v>
      </c>
      <c r="Y431" s="60">
        <v>1909</v>
      </c>
      <c r="Z431" s="60">
        <v>1909</v>
      </c>
    </row>
    <row r="432" spans="1:26" x14ac:dyDescent="0.6">
      <c r="A432" s="6" t="s">
        <v>835</v>
      </c>
      <c r="B432" s="10">
        <v>75</v>
      </c>
      <c r="C432" s="12" t="s">
        <v>970</v>
      </c>
      <c r="D432" s="13" t="s">
        <v>978</v>
      </c>
      <c r="E432" s="13" t="s">
        <v>984</v>
      </c>
      <c r="F432" s="10">
        <v>1</v>
      </c>
      <c r="G432" s="10"/>
      <c r="H432" s="1">
        <v>2189</v>
      </c>
      <c r="I432" s="1">
        <v>1821</v>
      </c>
      <c r="J432" s="1">
        <v>1821.2</v>
      </c>
      <c r="K432" s="2">
        <v>7.51</v>
      </c>
      <c r="L432">
        <v>1821</v>
      </c>
      <c r="M432">
        <v>1821</v>
      </c>
      <c r="N432">
        <v>1821</v>
      </c>
      <c r="O432">
        <v>1822</v>
      </c>
      <c r="P432">
        <v>1821</v>
      </c>
      <c r="S432">
        <v>1831</v>
      </c>
      <c r="T432">
        <v>1837.6</v>
      </c>
      <c r="U432" s="17">
        <v>25.246028760000002</v>
      </c>
      <c r="V432" s="60">
        <v>1928</v>
      </c>
      <c r="W432" s="60">
        <v>1933</v>
      </c>
      <c r="X432" s="60">
        <v>1927</v>
      </c>
      <c r="Y432" s="60">
        <v>1916</v>
      </c>
      <c r="Z432" s="60">
        <v>1925</v>
      </c>
    </row>
    <row r="433" spans="1:26" x14ac:dyDescent="0.6">
      <c r="A433" s="6" t="s">
        <v>836</v>
      </c>
      <c r="B433" s="10">
        <v>75</v>
      </c>
      <c r="C433" s="12" t="s">
        <v>970</v>
      </c>
      <c r="D433" s="13" t="s">
        <v>978</v>
      </c>
      <c r="E433" s="13" t="s">
        <v>985</v>
      </c>
      <c r="F433" s="10">
        <v>2</v>
      </c>
      <c r="G433" s="10"/>
      <c r="H433" s="1">
        <v>2166</v>
      </c>
      <c r="I433" s="1">
        <v>1809</v>
      </c>
      <c r="J433" s="1">
        <v>1809.6</v>
      </c>
      <c r="K433" s="2">
        <v>7.51</v>
      </c>
      <c r="L433">
        <v>1809</v>
      </c>
      <c r="M433">
        <v>1810</v>
      </c>
      <c r="N433">
        <v>1810</v>
      </c>
      <c r="O433">
        <v>1810</v>
      </c>
      <c r="P433">
        <v>1809</v>
      </c>
      <c r="S433">
        <v>1819</v>
      </c>
      <c r="T433">
        <v>1825.8</v>
      </c>
      <c r="U433" s="17">
        <v>25.023491400000001</v>
      </c>
      <c r="V433" s="60">
        <v>1918</v>
      </c>
      <c r="W433" s="60">
        <v>1917</v>
      </c>
      <c r="X433" s="60">
        <v>1913</v>
      </c>
      <c r="Y433" s="60">
        <v>1915</v>
      </c>
      <c r="Z433" s="60">
        <v>1909</v>
      </c>
    </row>
    <row r="434" spans="1:26" x14ac:dyDescent="0.6">
      <c r="A434" s="6" t="s">
        <v>837</v>
      </c>
      <c r="B434" s="10">
        <v>75</v>
      </c>
      <c r="C434" s="12" t="s">
        <v>970</v>
      </c>
      <c r="D434" s="13" t="s">
        <v>978</v>
      </c>
      <c r="E434" s="13" t="s">
        <v>982</v>
      </c>
      <c r="F434" s="10">
        <v>3</v>
      </c>
      <c r="G434" s="10"/>
      <c r="H434" s="1">
        <v>2139</v>
      </c>
      <c r="I434" s="1">
        <v>1823</v>
      </c>
      <c r="J434" s="1">
        <v>1824.8</v>
      </c>
      <c r="K434" s="2">
        <v>7.5</v>
      </c>
      <c r="L434">
        <v>1826</v>
      </c>
      <c r="M434">
        <v>1823</v>
      </c>
      <c r="N434">
        <v>1824</v>
      </c>
      <c r="O434">
        <v>1825</v>
      </c>
      <c r="P434">
        <v>1826</v>
      </c>
      <c r="S434">
        <v>1835</v>
      </c>
      <c r="T434">
        <v>1839</v>
      </c>
      <c r="U434" s="17">
        <v>24.928126280000001</v>
      </c>
      <c r="V434" s="60">
        <v>1932</v>
      </c>
      <c r="W434" s="60">
        <v>1934</v>
      </c>
      <c r="X434" s="60">
        <v>1930</v>
      </c>
      <c r="Y434" s="60">
        <v>1931</v>
      </c>
      <c r="Z434" s="60">
        <v>1935</v>
      </c>
    </row>
    <row r="435" spans="1:26" x14ac:dyDescent="0.6">
      <c r="A435" s="6" t="s">
        <v>838</v>
      </c>
      <c r="B435" s="10">
        <v>75</v>
      </c>
      <c r="C435" s="12" t="s">
        <v>970</v>
      </c>
      <c r="D435" s="13" t="s">
        <v>978</v>
      </c>
      <c r="E435" s="13" t="s">
        <v>982</v>
      </c>
      <c r="F435" s="10">
        <v>4</v>
      </c>
      <c r="G435" s="10"/>
      <c r="H435" s="1">
        <v>2077</v>
      </c>
      <c r="I435" s="1">
        <v>1826</v>
      </c>
      <c r="J435" s="1">
        <v>1827</v>
      </c>
      <c r="K435" s="2">
        <v>7.5</v>
      </c>
      <c r="L435">
        <v>1827</v>
      </c>
      <c r="M435">
        <v>1826</v>
      </c>
      <c r="N435">
        <v>1827</v>
      </c>
      <c r="O435">
        <v>1828</v>
      </c>
      <c r="P435">
        <v>1827</v>
      </c>
      <c r="S435">
        <v>1836</v>
      </c>
      <c r="T435">
        <v>1842</v>
      </c>
      <c r="U435" s="17">
        <v>24.365084599999999</v>
      </c>
      <c r="V435" s="60">
        <v>1937</v>
      </c>
      <c r="W435" s="60">
        <v>1932</v>
      </c>
      <c r="X435" s="60">
        <v>1929</v>
      </c>
      <c r="Y435" s="60">
        <v>1937</v>
      </c>
      <c r="Z435" s="60">
        <v>1932</v>
      </c>
    </row>
    <row r="436" spans="1:26" x14ac:dyDescent="0.6">
      <c r="A436" s="6" t="s">
        <v>839</v>
      </c>
      <c r="B436" s="10">
        <v>75</v>
      </c>
      <c r="C436" s="12" t="s">
        <v>970</v>
      </c>
      <c r="D436" s="13" t="s">
        <v>978</v>
      </c>
      <c r="E436" s="13" t="s">
        <v>982</v>
      </c>
      <c r="F436" s="10">
        <v>5</v>
      </c>
      <c r="G436" s="10"/>
      <c r="H436" s="1">
        <v>2359</v>
      </c>
      <c r="I436" s="1">
        <v>1809</v>
      </c>
      <c r="J436" s="1">
        <v>1811</v>
      </c>
      <c r="K436" s="2">
        <v>7.51</v>
      </c>
      <c r="L436">
        <v>1811</v>
      </c>
      <c r="M436">
        <v>1812</v>
      </c>
      <c r="N436">
        <v>1809</v>
      </c>
      <c r="O436">
        <v>1812</v>
      </c>
      <c r="P436">
        <v>1811</v>
      </c>
      <c r="S436">
        <v>1821</v>
      </c>
      <c r="T436">
        <v>1824.2</v>
      </c>
      <c r="U436" s="17">
        <v>24.8211187</v>
      </c>
      <c r="V436" s="60">
        <v>1915</v>
      </c>
      <c r="W436" s="60">
        <v>1920</v>
      </c>
      <c r="X436" s="60">
        <v>1918</v>
      </c>
      <c r="Y436" s="60">
        <v>1916</v>
      </c>
      <c r="Z436" s="60">
        <v>1914</v>
      </c>
    </row>
    <row r="437" spans="1:26" x14ac:dyDescent="0.6">
      <c r="A437" s="6" t="s">
        <v>840</v>
      </c>
      <c r="B437" s="10">
        <v>75</v>
      </c>
      <c r="C437" s="12" t="s">
        <v>970</v>
      </c>
      <c r="D437" s="13" t="s">
        <v>978</v>
      </c>
      <c r="E437" s="13" t="s">
        <v>982</v>
      </c>
      <c r="F437" s="10">
        <v>6</v>
      </c>
      <c r="G437" s="10"/>
      <c r="H437" s="1">
        <v>2240</v>
      </c>
      <c r="I437" s="1">
        <v>1826</v>
      </c>
      <c r="J437" s="1">
        <v>1827.4</v>
      </c>
      <c r="K437" s="2">
        <v>7.51</v>
      </c>
      <c r="L437">
        <v>1828</v>
      </c>
      <c r="M437">
        <v>1826</v>
      </c>
      <c r="N437">
        <v>1827</v>
      </c>
      <c r="O437">
        <v>1828</v>
      </c>
      <c r="P437">
        <v>1828</v>
      </c>
      <c r="S437">
        <v>1841</v>
      </c>
      <c r="T437">
        <v>1843.6</v>
      </c>
      <c r="U437" s="17">
        <v>24.491412319999998</v>
      </c>
      <c r="V437" s="60">
        <v>1937</v>
      </c>
      <c r="W437" s="60">
        <v>1931</v>
      </c>
      <c r="X437" s="60">
        <v>1936</v>
      </c>
      <c r="Y437" s="60">
        <v>1933</v>
      </c>
      <c r="Z437" s="60">
        <v>1940</v>
      </c>
    </row>
    <row r="438" spans="1:26" x14ac:dyDescent="0.6">
      <c r="A438" s="6" t="s">
        <v>841</v>
      </c>
      <c r="B438" s="10">
        <v>75</v>
      </c>
      <c r="C438" s="12" t="s">
        <v>970</v>
      </c>
      <c r="D438" s="13" t="s">
        <v>978</v>
      </c>
      <c r="E438" s="13" t="s">
        <v>982</v>
      </c>
      <c r="F438" s="10">
        <v>7</v>
      </c>
      <c r="G438" s="10"/>
      <c r="H438" s="1">
        <v>2285</v>
      </c>
      <c r="I438" s="1">
        <v>1829</v>
      </c>
      <c r="J438" s="1">
        <v>1829.6</v>
      </c>
      <c r="K438" s="2">
        <v>7.51</v>
      </c>
      <c r="L438">
        <v>1829</v>
      </c>
      <c r="M438">
        <v>1830</v>
      </c>
      <c r="N438">
        <v>1830</v>
      </c>
      <c r="O438">
        <v>1829</v>
      </c>
      <c r="P438">
        <v>1830</v>
      </c>
      <c r="S438">
        <v>1837</v>
      </c>
      <c r="T438">
        <v>1843.2</v>
      </c>
      <c r="U438" s="17">
        <v>25.103562440000001</v>
      </c>
      <c r="V438" s="60">
        <v>1919</v>
      </c>
      <c r="W438" s="60">
        <v>1924</v>
      </c>
      <c r="X438" s="60">
        <v>1935</v>
      </c>
      <c r="Y438" s="60">
        <v>1929</v>
      </c>
      <c r="Z438" s="60">
        <v>1932</v>
      </c>
    </row>
    <row r="439" spans="1:26" x14ac:dyDescent="0.6">
      <c r="A439" s="6" t="s">
        <v>842</v>
      </c>
      <c r="B439" s="10">
        <v>75</v>
      </c>
      <c r="C439" s="12" t="s">
        <v>970</v>
      </c>
      <c r="D439" s="13" t="s">
        <v>978</v>
      </c>
      <c r="E439" s="13" t="s">
        <v>982</v>
      </c>
      <c r="F439" s="10">
        <v>8</v>
      </c>
      <c r="G439" s="10"/>
      <c r="H439" s="1">
        <v>2211</v>
      </c>
      <c r="I439" s="1">
        <v>1836</v>
      </c>
      <c r="J439" s="1">
        <v>1837.2</v>
      </c>
      <c r="K439" s="2">
        <v>7.51</v>
      </c>
      <c r="L439">
        <v>1838</v>
      </c>
      <c r="M439">
        <v>1838</v>
      </c>
      <c r="N439">
        <v>1837</v>
      </c>
      <c r="O439">
        <v>1836</v>
      </c>
      <c r="P439">
        <v>1837</v>
      </c>
      <c r="S439">
        <v>1849</v>
      </c>
      <c r="T439">
        <v>1851.2</v>
      </c>
      <c r="U439" s="17">
        <v>25.271959899999999</v>
      </c>
      <c r="V439" s="60">
        <v>1945</v>
      </c>
      <c r="W439" s="60">
        <v>1938</v>
      </c>
      <c r="X439" s="60">
        <v>1938</v>
      </c>
      <c r="Y439" s="60">
        <v>1938</v>
      </c>
      <c r="Z439" s="60">
        <v>1937</v>
      </c>
    </row>
    <row r="440" spans="1:26" x14ac:dyDescent="0.6">
      <c r="A440" s="6" t="s">
        <v>843</v>
      </c>
      <c r="B440" s="10">
        <v>75</v>
      </c>
      <c r="C440" s="12" t="s">
        <v>970</v>
      </c>
      <c r="D440" s="13" t="s">
        <v>978</v>
      </c>
      <c r="E440" s="13" t="s">
        <v>982</v>
      </c>
      <c r="F440" s="10">
        <v>9</v>
      </c>
      <c r="G440" s="10"/>
      <c r="H440" s="1">
        <v>2230</v>
      </c>
      <c r="I440" s="1">
        <v>1822</v>
      </c>
      <c r="J440" s="1">
        <v>1823.6</v>
      </c>
      <c r="K440" s="2">
        <v>7.51</v>
      </c>
      <c r="L440">
        <v>1823</v>
      </c>
      <c r="M440">
        <v>1824</v>
      </c>
      <c r="N440">
        <v>1824</v>
      </c>
      <c r="O440">
        <v>1822</v>
      </c>
      <c r="P440">
        <v>1825</v>
      </c>
      <c r="S440">
        <v>1834</v>
      </c>
      <c r="T440">
        <v>1837</v>
      </c>
      <c r="U440" s="17">
        <v>24.780767480000002</v>
      </c>
      <c r="V440" s="60">
        <v>1941</v>
      </c>
      <c r="W440" s="60">
        <v>1944</v>
      </c>
      <c r="X440" s="60">
        <v>1937</v>
      </c>
      <c r="Y440" s="60">
        <v>1934</v>
      </c>
      <c r="Z440" s="60">
        <v>1939</v>
      </c>
    </row>
    <row r="441" spans="1:26" x14ac:dyDescent="0.6">
      <c r="A441" s="6" t="s">
        <v>844</v>
      </c>
      <c r="B441" s="10">
        <v>75</v>
      </c>
      <c r="C441" s="12" t="s">
        <v>970</v>
      </c>
      <c r="D441" s="13" t="s">
        <v>978</v>
      </c>
      <c r="E441" s="13" t="s">
        <v>982</v>
      </c>
      <c r="F441" s="10">
        <v>10</v>
      </c>
      <c r="G441" s="10"/>
      <c r="H441" s="1">
        <v>2234</v>
      </c>
      <c r="I441" s="1">
        <v>1802</v>
      </c>
      <c r="J441" s="1">
        <v>1803.4</v>
      </c>
      <c r="K441" s="2">
        <v>7.51</v>
      </c>
      <c r="L441">
        <v>1803</v>
      </c>
      <c r="M441">
        <v>1805</v>
      </c>
      <c r="N441">
        <v>1804</v>
      </c>
      <c r="O441">
        <v>1803</v>
      </c>
      <c r="P441">
        <v>1802</v>
      </c>
      <c r="S441">
        <v>1817</v>
      </c>
      <c r="T441">
        <v>1820.2</v>
      </c>
      <c r="U441" s="17">
        <v>25.326236300000001</v>
      </c>
      <c r="V441" s="60">
        <v>1912</v>
      </c>
      <c r="W441" s="60">
        <v>1912</v>
      </c>
      <c r="X441" s="60">
        <v>1919</v>
      </c>
      <c r="Y441" s="60">
        <v>1919</v>
      </c>
      <c r="Z441" s="60">
        <v>1908</v>
      </c>
    </row>
    <row r="442" spans="1:26" x14ac:dyDescent="0.6">
      <c r="A442" s="6" t="s">
        <v>845</v>
      </c>
      <c r="B442" s="10">
        <v>75</v>
      </c>
      <c r="C442" s="13" t="s">
        <v>974</v>
      </c>
      <c r="D442" s="13" t="s">
        <v>977</v>
      </c>
      <c r="E442" s="13" t="s">
        <v>981</v>
      </c>
      <c r="F442" s="10">
        <v>1</v>
      </c>
      <c r="G442" s="10"/>
      <c r="H442" s="1">
        <v>2439</v>
      </c>
      <c r="I442" s="1">
        <v>2200</v>
      </c>
      <c r="J442" s="1">
        <v>2200.8000000000002</v>
      </c>
      <c r="K442" s="2">
        <v>7.51</v>
      </c>
      <c r="L442">
        <v>2201</v>
      </c>
      <c r="M442">
        <v>2202</v>
      </c>
      <c r="N442">
        <v>2200</v>
      </c>
      <c r="O442">
        <v>2201</v>
      </c>
      <c r="P442">
        <v>2200</v>
      </c>
      <c r="S442">
        <v>2212</v>
      </c>
      <c r="T442">
        <v>2215.1999999999998</v>
      </c>
      <c r="U442" s="17">
        <v>24.607616700000001</v>
      </c>
      <c r="V442" s="60">
        <v>2308</v>
      </c>
      <c r="W442" s="60">
        <v>2302</v>
      </c>
      <c r="X442" s="60">
        <v>2303</v>
      </c>
      <c r="Y442" s="60">
        <v>2297</v>
      </c>
      <c r="Z442" s="60">
        <v>2309</v>
      </c>
    </row>
    <row r="443" spans="1:26" x14ac:dyDescent="0.6">
      <c r="A443" s="6" t="s">
        <v>846</v>
      </c>
      <c r="B443" s="10">
        <v>75</v>
      </c>
      <c r="C443" s="13" t="s">
        <v>975</v>
      </c>
      <c r="D443" s="13" t="s">
        <v>977</v>
      </c>
      <c r="E443" s="13" t="s">
        <v>983</v>
      </c>
      <c r="F443" s="10">
        <v>2</v>
      </c>
      <c r="G443" s="10"/>
      <c r="H443" s="1">
        <v>2407</v>
      </c>
      <c r="I443" s="1">
        <v>2189</v>
      </c>
      <c r="J443" s="1">
        <v>2189.4</v>
      </c>
      <c r="K443" s="2">
        <v>7.5</v>
      </c>
      <c r="L443">
        <v>2189</v>
      </c>
      <c r="M443">
        <v>2191</v>
      </c>
      <c r="N443">
        <v>2189</v>
      </c>
      <c r="O443">
        <v>2189</v>
      </c>
      <c r="P443">
        <v>2189</v>
      </c>
      <c r="S443">
        <v>2197</v>
      </c>
      <c r="T443">
        <v>2204.4</v>
      </c>
      <c r="U443" s="17">
        <v>24.344438440000001</v>
      </c>
      <c r="V443" s="60">
        <v>2286</v>
      </c>
      <c r="W443" s="60">
        <v>2289</v>
      </c>
      <c r="X443" s="60">
        <v>2282</v>
      </c>
      <c r="Y443" s="60">
        <v>2287</v>
      </c>
      <c r="Z443" s="60">
        <v>2291</v>
      </c>
    </row>
    <row r="444" spans="1:26" x14ac:dyDescent="0.6">
      <c r="A444" s="6" t="s">
        <v>847</v>
      </c>
      <c r="B444" s="10">
        <v>75</v>
      </c>
      <c r="C444" s="13" t="s">
        <v>973</v>
      </c>
      <c r="D444" s="13" t="s">
        <v>976</v>
      </c>
      <c r="E444" s="13" t="s">
        <v>980</v>
      </c>
      <c r="F444" s="10">
        <v>3</v>
      </c>
      <c r="G444" s="10"/>
      <c r="H444" s="1">
        <v>2414</v>
      </c>
      <c r="I444" s="1">
        <v>2205</v>
      </c>
      <c r="J444" s="1">
        <v>2205.4</v>
      </c>
      <c r="K444" s="2">
        <v>7.51</v>
      </c>
      <c r="L444">
        <v>2206</v>
      </c>
      <c r="M444">
        <v>2205</v>
      </c>
      <c r="N444">
        <v>2206</v>
      </c>
      <c r="O444">
        <v>2205</v>
      </c>
      <c r="P444">
        <v>2205</v>
      </c>
      <c r="S444">
        <v>2218</v>
      </c>
      <c r="T444">
        <v>2221.8000000000002</v>
      </c>
      <c r="U444" s="17">
        <v>24.470198539999998</v>
      </c>
      <c r="V444" s="60">
        <v>2307</v>
      </c>
      <c r="W444" s="60">
        <v>2309</v>
      </c>
      <c r="X444" s="60">
        <v>2305</v>
      </c>
      <c r="Y444" s="60">
        <v>2305</v>
      </c>
      <c r="Z444" s="60">
        <v>2309</v>
      </c>
    </row>
    <row r="445" spans="1:26" x14ac:dyDescent="0.6">
      <c r="A445" s="6" t="s">
        <v>848</v>
      </c>
      <c r="B445" s="10">
        <v>75</v>
      </c>
      <c r="C445" s="13" t="s">
        <v>973</v>
      </c>
      <c r="D445" s="13" t="s">
        <v>976</v>
      </c>
      <c r="E445" s="13" t="s">
        <v>980</v>
      </c>
      <c r="F445" s="10">
        <v>4</v>
      </c>
      <c r="G445" s="10"/>
      <c r="H445" s="1">
        <v>2355</v>
      </c>
      <c r="I445" s="1">
        <v>2206</v>
      </c>
      <c r="J445" s="1">
        <v>2206.8000000000002</v>
      </c>
      <c r="K445" s="2">
        <v>7.51</v>
      </c>
      <c r="L445">
        <v>2206</v>
      </c>
      <c r="M445">
        <v>2207</v>
      </c>
      <c r="N445">
        <v>2207</v>
      </c>
      <c r="O445">
        <v>2207</v>
      </c>
      <c r="P445">
        <v>2207</v>
      </c>
      <c r="S445">
        <v>2221</v>
      </c>
      <c r="T445">
        <v>2223.6</v>
      </c>
      <c r="U445" s="17">
        <v>23.91065296</v>
      </c>
      <c r="V445" s="60">
        <v>2311</v>
      </c>
      <c r="W445" s="60">
        <v>2313</v>
      </c>
      <c r="X445" s="60">
        <v>2310</v>
      </c>
      <c r="Y445" s="60">
        <v>2303</v>
      </c>
      <c r="Z445" s="60">
        <v>2313</v>
      </c>
    </row>
    <row r="446" spans="1:26" x14ac:dyDescent="0.6">
      <c r="A446" s="6" t="s">
        <v>849</v>
      </c>
      <c r="B446" s="10">
        <v>75</v>
      </c>
      <c r="C446" s="13" t="s">
        <v>973</v>
      </c>
      <c r="D446" s="13" t="s">
        <v>976</v>
      </c>
      <c r="E446" s="13" t="s">
        <v>980</v>
      </c>
      <c r="F446" s="10">
        <v>5</v>
      </c>
      <c r="G446" s="10"/>
      <c r="H446" s="1">
        <v>2544</v>
      </c>
      <c r="I446" s="1">
        <v>2190</v>
      </c>
      <c r="J446" s="1">
        <v>2190.4</v>
      </c>
      <c r="K446" s="2">
        <v>7.51</v>
      </c>
      <c r="L446">
        <v>2190</v>
      </c>
      <c r="M446">
        <v>2190</v>
      </c>
      <c r="N446">
        <v>2190</v>
      </c>
      <c r="O446">
        <v>2191</v>
      </c>
      <c r="P446">
        <v>2191</v>
      </c>
      <c r="S446">
        <v>2204</v>
      </c>
      <c r="T446">
        <v>2209</v>
      </c>
      <c r="U446" s="17">
        <v>24.56417472</v>
      </c>
      <c r="V446" s="60">
        <v>2289</v>
      </c>
      <c r="W446" s="60">
        <v>2292</v>
      </c>
      <c r="X446" s="60">
        <v>2294</v>
      </c>
      <c r="Y446" s="60">
        <v>2289</v>
      </c>
      <c r="Z446" s="60">
        <v>2290</v>
      </c>
    </row>
    <row r="447" spans="1:26" x14ac:dyDescent="0.6">
      <c r="A447" s="6" t="s">
        <v>850</v>
      </c>
      <c r="B447" s="10">
        <v>75</v>
      </c>
      <c r="C447" s="13" t="s">
        <v>973</v>
      </c>
      <c r="D447" s="13" t="s">
        <v>976</v>
      </c>
      <c r="E447" s="13" t="s">
        <v>980</v>
      </c>
      <c r="F447" s="10">
        <v>6</v>
      </c>
      <c r="G447" s="10"/>
      <c r="H447" s="1">
        <v>2483</v>
      </c>
      <c r="I447" s="1">
        <v>2206</v>
      </c>
      <c r="J447" s="1">
        <v>2206.6</v>
      </c>
      <c r="K447" s="2">
        <v>7.51</v>
      </c>
      <c r="L447">
        <v>2207</v>
      </c>
      <c r="M447">
        <v>2207</v>
      </c>
      <c r="N447">
        <v>2206</v>
      </c>
      <c r="O447">
        <v>2206</v>
      </c>
      <c r="P447">
        <v>2207</v>
      </c>
      <c r="S447">
        <v>2218</v>
      </c>
      <c r="T447">
        <v>2222.8000000000002</v>
      </c>
      <c r="U447" s="17">
        <v>24.314518159999999</v>
      </c>
      <c r="V447" s="60">
        <v>2311</v>
      </c>
      <c r="W447" s="60">
        <v>2311</v>
      </c>
      <c r="X447" s="60">
        <v>2311</v>
      </c>
      <c r="Y447" s="60">
        <v>2311</v>
      </c>
      <c r="Z447" s="60">
        <v>2310</v>
      </c>
    </row>
    <row r="448" spans="1:26" x14ac:dyDescent="0.6">
      <c r="A448" s="6" t="s">
        <v>851</v>
      </c>
      <c r="B448" s="10">
        <v>75</v>
      </c>
      <c r="C448" s="13" t="s">
        <v>973</v>
      </c>
      <c r="D448" s="13" t="s">
        <v>976</v>
      </c>
      <c r="E448" s="13" t="s">
        <v>980</v>
      </c>
      <c r="F448" s="10">
        <v>7</v>
      </c>
      <c r="G448" s="10"/>
      <c r="H448" s="1">
        <v>2491</v>
      </c>
      <c r="I448" s="1">
        <v>2208</v>
      </c>
      <c r="J448" s="1">
        <v>2209.1999999999998</v>
      </c>
      <c r="K448" s="2">
        <v>7.51</v>
      </c>
      <c r="L448">
        <v>2210</v>
      </c>
      <c r="M448">
        <v>2208</v>
      </c>
      <c r="N448">
        <v>2209</v>
      </c>
      <c r="O448">
        <v>2209</v>
      </c>
      <c r="P448">
        <v>2210</v>
      </c>
      <c r="S448">
        <v>2220</v>
      </c>
      <c r="T448">
        <v>2223.4</v>
      </c>
      <c r="U448" s="17">
        <v>25.331454959999999</v>
      </c>
      <c r="V448" s="60">
        <v>2309</v>
      </c>
      <c r="W448" s="60">
        <v>2309</v>
      </c>
      <c r="X448" s="60">
        <v>2303</v>
      </c>
      <c r="Y448" s="60">
        <v>2309</v>
      </c>
      <c r="Z448" s="60">
        <v>2308</v>
      </c>
    </row>
    <row r="449" spans="1:26" x14ac:dyDescent="0.6">
      <c r="A449" s="6" t="s">
        <v>852</v>
      </c>
      <c r="B449" s="10">
        <v>75</v>
      </c>
      <c r="C449" s="13" t="s">
        <v>973</v>
      </c>
      <c r="D449" s="13" t="s">
        <v>976</v>
      </c>
      <c r="E449" s="13" t="s">
        <v>980</v>
      </c>
      <c r="F449" s="10">
        <v>8</v>
      </c>
      <c r="G449" s="10"/>
      <c r="H449" s="1">
        <v>2441</v>
      </c>
      <c r="I449" s="1">
        <v>2216</v>
      </c>
      <c r="J449" s="1">
        <v>2216.4</v>
      </c>
      <c r="K449" s="2">
        <v>7.51</v>
      </c>
      <c r="L449">
        <v>2217</v>
      </c>
      <c r="M449">
        <v>2216</v>
      </c>
      <c r="N449">
        <v>2217</v>
      </c>
      <c r="O449">
        <v>2216</v>
      </c>
      <c r="P449">
        <v>2216</v>
      </c>
      <c r="S449">
        <v>2230</v>
      </c>
      <c r="T449">
        <v>2233</v>
      </c>
      <c r="U449" s="17">
        <v>24.002632819999999</v>
      </c>
      <c r="V449" s="60">
        <v>2321</v>
      </c>
      <c r="W449" s="60">
        <v>2317</v>
      </c>
      <c r="X449" s="60">
        <v>2317</v>
      </c>
      <c r="Y449" s="60">
        <v>2316</v>
      </c>
      <c r="Z449" s="60">
        <v>2310</v>
      </c>
    </row>
    <row r="450" spans="1:26" x14ac:dyDescent="0.6">
      <c r="A450" s="6" t="s">
        <v>853</v>
      </c>
      <c r="B450" s="10">
        <v>75</v>
      </c>
      <c r="C450" s="13" t="s">
        <v>973</v>
      </c>
      <c r="D450" s="13" t="s">
        <v>976</v>
      </c>
      <c r="E450" s="13" t="s">
        <v>980</v>
      </c>
      <c r="F450" s="10">
        <v>9</v>
      </c>
      <c r="G450" s="10"/>
      <c r="H450" s="1">
        <v>2450</v>
      </c>
      <c r="I450" s="1">
        <v>2202</v>
      </c>
      <c r="J450" s="1">
        <v>2203</v>
      </c>
      <c r="K450" s="2">
        <v>7.51</v>
      </c>
      <c r="L450">
        <v>2204</v>
      </c>
      <c r="M450">
        <v>2203</v>
      </c>
      <c r="N450">
        <v>2202</v>
      </c>
      <c r="O450">
        <v>2203</v>
      </c>
      <c r="P450">
        <v>2203</v>
      </c>
      <c r="S450">
        <v>2215</v>
      </c>
      <c r="T450">
        <v>2219</v>
      </c>
      <c r="U450" s="17">
        <v>24.78833874</v>
      </c>
      <c r="V450" s="60">
        <v>2311</v>
      </c>
      <c r="W450" s="60">
        <v>2306</v>
      </c>
      <c r="X450" s="60">
        <v>2307</v>
      </c>
      <c r="Y450" s="60">
        <v>2311</v>
      </c>
      <c r="Z450" s="60">
        <v>2314</v>
      </c>
    </row>
    <row r="451" spans="1:26" x14ac:dyDescent="0.6">
      <c r="A451" s="6" t="s">
        <v>854</v>
      </c>
      <c r="B451" s="10">
        <v>75</v>
      </c>
      <c r="C451" s="13" t="s">
        <v>973</v>
      </c>
      <c r="D451" s="13" t="s">
        <v>976</v>
      </c>
      <c r="E451" s="13" t="s">
        <v>980</v>
      </c>
      <c r="F451" s="10">
        <v>10</v>
      </c>
      <c r="G451" s="10"/>
      <c r="H451" s="1">
        <v>2445</v>
      </c>
      <c r="I451" s="1">
        <v>2182</v>
      </c>
      <c r="J451" s="1">
        <v>2182.8000000000002</v>
      </c>
      <c r="K451" s="2">
        <v>7.51</v>
      </c>
      <c r="L451">
        <v>2183</v>
      </c>
      <c r="M451">
        <v>2183</v>
      </c>
      <c r="N451">
        <v>2182</v>
      </c>
      <c r="O451">
        <v>2183</v>
      </c>
      <c r="P451">
        <v>2183</v>
      </c>
      <c r="S451">
        <v>2196</v>
      </c>
      <c r="T451">
        <v>2201</v>
      </c>
      <c r="U451" s="17">
        <v>24.379158579999999</v>
      </c>
      <c r="V451" s="60">
        <v>2285</v>
      </c>
      <c r="W451" s="60">
        <v>2280</v>
      </c>
      <c r="X451" s="60">
        <v>2279</v>
      </c>
      <c r="Y451" s="60">
        <v>2292</v>
      </c>
      <c r="Z451" s="60">
        <v>2286</v>
      </c>
    </row>
    <row r="452" spans="1:26" x14ac:dyDescent="0.6">
      <c r="A452" s="6" t="s">
        <v>855</v>
      </c>
      <c r="B452" s="10">
        <v>75</v>
      </c>
      <c r="C452" s="13" t="s">
        <v>973</v>
      </c>
      <c r="D452" s="13" t="s">
        <v>976</v>
      </c>
      <c r="E452" s="13" t="s">
        <v>984</v>
      </c>
      <c r="F452" s="10">
        <v>1</v>
      </c>
      <c r="G452" s="10"/>
      <c r="H452" s="1">
        <v>2604</v>
      </c>
      <c r="I452" s="1">
        <v>2200</v>
      </c>
      <c r="J452" s="1">
        <v>2201.4</v>
      </c>
      <c r="K452" s="2">
        <v>7.5</v>
      </c>
      <c r="L452">
        <v>2201</v>
      </c>
      <c r="M452">
        <v>2201</v>
      </c>
      <c r="N452">
        <v>2202</v>
      </c>
      <c r="O452">
        <v>2203</v>
      </c>
      <c r="P452">
        <v>2200</v>
      </c>
      <c r="S452">
        <v>2209</v>
      </c>
      <c r="T452">
        <v>2216.4</v>
      </c>
      <c r="U452" s="17">
        <v>24.784783780000001</v>
      </c>
      <c r="V452" s="60">
        <v>2307</v>
      </c>
      <c r="W452" s="60">
        <v>2309</v>
      </c>
      <c r="X452" s="60">
        <v>2311</v>
      </c>
      <c r="Y452" s="60">
        <v>2313</v>
      </c>
      <c r="Z452" s="60">
        <v>2312</v>
      </c>
    </row>
    <row r="453" spans="1:26" x14ac:dyDescent="0.6">
      <c r="A453" s="6" t="s">
        <v>856</v>
      </c>
      <c r="B453" s="10">
        <v>75</v>
      </c>
      <c r="C453" s="13" t="s">
        <v>973</v>
      </c>
      <c r="D453" s="13" t="s">
        <v>976</v>
      </c>
      <c r="E453" s="13" t="s">
        <v>985</v>
      </c>
      <c r="F453" s="10">
        <v>2</v>
      </c>
      <c r="G453" s="10"/>
      <c r="H453" s="1">
        <v>2586</v>
      </c>
      <c r="I453" s="1">
        <v>2189</v>
      </c>
      <c r="J453" s="1">
        <v>2189.8000000000002</v>
      </c>
      <c r="K453" s="2">
        <v>7.51</v>
      </c>
      <c r="L453">
        <v>2190</v>
      </c>
      <c r="M453">
        <v>2189</v>
      </c>
      <c r="N453">
        <v>2191</v>
      </c>
      <c r="O453">
        <v>2189</v>
      </c>
      <c r="P453">
        <v>2190</v>
      </c>
      <c r="S453">
        <v>2200</v>
      </c>
      <c r="T453">
        <v>2202.8000000000002</v>
      </c>
      <c r="U453" s="17">
        <v>25.549971939999999</v>
      </c>
      <c r="V453" s="60">
        <v>2291</v>
      </c>
      <c r="W453" s="60">
        <v>2288</v>
      </c>
      <c r="X453" s="60">
        <v>2294</v>
      </c>
      <c r="Y453" s="60">
        <v>2291</v>
      </c>
      <c r="Z453" s="60">
        <v>2285</v>
      </c>
    </row>
    <row r="454" spans="1:26" x14ac:dyDescent="0.6">
      <c r="A454" s="6" t="s">
        <v>857</v>
      </c>
      <c r="B454" s="10">
        <v>75</v>
      </c>
      <c r="C454" s="13" t="s">
        <v>973</v>
      </c>
      <c r="D454" s="13" t="s">
        <v>976</v>
      </c>
      <c r="E454" s="13" t="s">
        <v>982</v>
      </c>
      <c r="F454" s="10">
        <v>3</v>
      </c>
      <c r="G454" s="10"/>
      <c r="H454" s="1">
        <v>2554</v>
      </c>
      <c r="I454" s="1">
        <v>2204</v>
      </c>
      <c r="J454" s="1">
        <v>2204.6</v>
      </c>
      <c r="K454" s="2">
        <v>7.51</v>
      </c>
      <c r="L454">
        <v>2205</v>
      </c>
      <c r="M454">
        <v>2204</v>
      </c>
      <c r="N454">
        <v>2205</v>
      </c>
      <c r="O454">
        <v>2204</v>
      </c>
      <c r="P454">
        <v>2205</v>
      </c>
      <c r="S454">
        <v>2218</v>
      </c>
      <c r="T454">
        <v>2219.1999999999998</v>
      </c>
      <c r="U454" s="17">
        <v>24.381478019999999</v>
      </c>
      <c r="V454" s="60">
        <v>2309</v>
      </c>
      <c r="W454" s="60">
        <v>2304</v>
      </c>
      <c r="X454" s="60">
        <v>2310</v>
      </c>
      <c r="Y454" s="60">
        <v>2306</v>
      </c>
      <c r="Z454" s="60">
        <v>2313</v>
      </c>
    </row>
    <row r="455" spans="1:26" x14ac:dyDescent="0.6">
      <c r="A455" s="6" t="s">
        <v>858</v>
      </c>
      <c r="B455" s="10">
        <v>75</v>
      </c>
      <c r="C455" s="13" t="s">
        <v>973</v>
      </c>
      <c r="D455" s="13" t="s">
        <v>976</v>
      </c>
      <c r="E455" s="13" t="s">
        <v>982</v>
      </c>
      <c r="F455" s="10">
        <v>4</v>
      </c>
      <c r="G455" s="10"/>
      <c r="H455" s="1">
        <v>2482</v>
      </c>
      <c r="I455" s="1">
        <v>2206</v>
      </c>
      <c r="J455" s="1">
        <v>2207</v>
      </c>
      <c r="K455" s="2">
        <v>7.51</v>
      </c>
      <c r="L455">
        <v>2207</v>
      </c>
      <c r="M455">
        <v>2206</v>
      </c>
      <c r="N455">
        <v>2207</v>
      </c>
      <c r="O455">
        <v>2208</v>
      </c>
      <c r="P455">
        <v>2207</v>
      </c>
      <c r="S455">
        <v>2217</v>
      </c>
      <c r="T455">
        <v>2221.6</v>
      </c>
      <c r="U455" s="17">
        <v>24.58718416</v>
      </c>
      <c r="V455" s="60">
        <v>2310</v>
      </c>
      <c r="W455" s="60">
        <v>2306</v>
      </c>
      <c r="X455" s="60">
        <v>2314</v>
      </c>
      <c r="Y455" s="60">
        <v>2313</v>
      </c>
      <c r="Z455" s="60">
        <v>2312</v>
      </c>
    </row>
    <row r="456" spans="1:26" x14ac:dyDescent="0.6">
      <c r="A456" s="6" t="s">
        <v>859</v>
      </c>
      <c r="B456" s="10">
        <v>75</v>
      </c>
      <c r="C456" s="13" t="s">
        <v>973</v>
      </c>
      <c r="D456" s="13" t="s">
        <v>976</v>
      </c>
      <c r="E456" s="13" t="s">
        <v>982</v>
      </c>
      <c r="F456" s="10">
        <v>5</v>
      </c>
      <c r="G456" s="10"/>
      <c r="H456" s="1">
        <v>2804</v>
      </c>
      <c r="I456" s="1">
        <v>2190</v>
      </c>
      <c r="J456" s="1">
        <v>2190.6</v>
      </c>
      <c r="K456" s="2">
        <v>7.5</v>
      </c>
      <c r="L456">
        <v>2190</v>
      </c>
      <c r="M456">
        <v>2192</v>
      </c>
      <c r="N456">
        <v>2190</v>
      </c>
      <c r="O456">
        <v>2190</v>
      </c>
      <c r="P456">
        <v>2191</v>
      </c>
      <c r="S456">
        <v>2206</v>
      </c>
      <c r="T456">
        <v>2209</v>
      </c>
      <c r="U456" s="17">
        <v>25.224200539999998</v>
      </c>
      <c r="V456" s="60">
        <v>2291</v>
      </c>
      <c r="W456" s="60">
        <v>2298</v>
      </c>
      <c r="X456" s="60">
        <v>2297</v>
      </c>
      <c r="Y456" s="60">
        <v>2293</v>
      </c>
      <c r="Z456" s="60">
        <v>2296</v>
      </c>
    </row>
    <row r="457" spans="1:26" x14ac:dyDescent="0.6">
      <c r="A457" s="6" t="s">
        <v>860</v>
      </c>
      <c r="B457" s="10">
        <v>75</v>
      </c>
      <c r="C457" s="13" t="s">
        <v>973</v>
      </c>
      <c r="D457" s="13" t="s">
        <v>976</v>
      </c>
      <c r="E457" s="13" t="s">
        <v>982</v>
      </c>
      <c r="F457" s="10">
        <v>6</v>
      </c>
      <c r="G457" s="10"/>
      <c r="H457" s="1">
        <v>2665</v>
      </c>
      <c r="I457" s="1">
        <v>2206</v>
      </c>
      <c r="J457" s="1">
        <v>2206.8000000000002</v>
      </c>
      <c r="K457" s="2">
        <v>7.5</v>
      </c>
      <c r="L457">
        <v>2206</v>
      </c>
      <c r="M457">
        <v>2207</v>
      </c>
      <c r="N457">
        <v>2208</v>
      </c>
      <c r="O457">
        <v>2207</v>
      </c>
      <c r="P457">
        <v>2206</v>
      </c>
      <c r="S457">
        <v>2216</v>
      </c>
      <c r="T457">
        <v>2222.1999999999998</v>
      </c>
      <c r="U457" s="17">
        <v>24.040670639999998</v>
      </c>
      <c r="V457" s="60">
        <v>2315</v>
      </c>
      <c r="W457" s="60">
        <v>2309</v>
      </c>
      <c r="X457" s="60">
        <v>2319</v>
      </c>
      <c r="Y457" s="60">
        <v>2307</v>
      </c>
      <c r="Z457" s="60">
        <v>2306</v>
      </c>
    </row>
    <row r="458" spans="1:26" x14ac:dyDescent="0.6">
      <c r="A458" s="6" t="s">
        <v>861</v>
      </c>
      <c r="B458" s="10">
        <v>75</v>
      </c>
      <c r="C458" s="13" t="s">
        <v>973</v>
      </c>
      <c r="D458" s="13" t="s">
        <v>976</v>
      </c>
      <c r="E458" s="13" t="s">
        <v>982</v>
      </c>
      <c r="F458" s="10">
        <v>7</v>
      </c>
      <c r="G458" s="10"/>
      <c r="H458" s="1">
        <v>2715</v>
      </c>
      <c r="I458" s="1">
        <v>2209</v>
      </c>
      <c r="J458" s="1">
        <v>2209.4</v>
      </c>
      <c r="K458" s="2">
        <v>7.51</v>
      </c>
      <c r="L458">
        <v>2210</v>
      </c>
      <c r="M458">
        <v>2210</v>
      </c>
      <c r="N458">
        <v>2209</v>
      </c>
      <c r="O458">
        <v>2209</v>
      </c>
      <c r="P458">
        <v>2209</v>
      </c>
      <c r="S458">
        <v>2218</v>
      </c>
      <c r="T458">
        <v>2221.8000000000002</v>
      </c>
      <c r="U458" s="17">
        <v>24.694269540000001</v>
      </c>
      <c r="V458" s="60">
        <v>2308</v>
      </c>
      <c r="W458" s="60">
        <v>2309</v>
      </c>
      <c r="X458" s="60">
        <v>2311</v>
      </c>
      <c r="Y458" s="60">
        <v>2303</v>
      </c>
      <c r="Z458" s="60">
        <v>2310</v>
      </c>
    </row>
    <row r="459" spans="1:26" x14ac:dyDescent="0.6">
      <c r="A459" s="6" t="s">
        <v>862</v>
      </c>
      <c r="B459" s="10">
        <v>75</v>
      </c>
      <c r="C459" s="13" t="s">
        <v>973</v>
      </c>
      <c r="D459" s="13" t="s">
        <v>976</v>
      </c>
      <c r="E459" s="13" t="s">
        <v>982</v>
      </c>
      <c r="F459" s="10">
        <v>8</v>
      </c>
      <c r="G459" s="10"/>
      <c r="H459" s="1">
        <v>2636</v>
      </c>
      <c r="I459" s="1">
        <v>2216</v>
      </c>
      <c r="J459" s="1">
        <v>2217.1999999999998</v>
      </c>
      <c r="K459" s="2">
        <v>7.5</v>
      </c>
      <c r="L459">
        <v>2219</v>
      </c>
      <c r="M459">
        <v>2217</v>
      </c>
      <c r="N459">
        <v>2217</v>
      </c>
      <c r="O459">
        <v>2217</v>
      </c>
      <c r="P459">
        <v>2216</v>
      </c>
      <c r="S459">
        <v>2226</v>
      </c>
      <c r="T459">
        <v>2230</v>
      </c>
      <c r="U459" s="17">
        <v>24.839606119999999</v>
      </c>
      <c r="V459" s="60">
        <v>2324</v>
      </c>
      <c r="W459" s="60">
        <v>2321</v>
      </c>
      <c r="X459" s="60">
        <v>2323</v>
      </c>
      <c r="Y459" s="60">
        <v>2316</v>
      </c>
      <c r="Z459" s="60">
        <v>2319</v>
      </c>
    </row>
    <row r="460" spans="1:26" x14ac:dyDescent="0.6">
      <c r="A460" s="6" t="s">
        <v>863</v>
      </c>
      <c r="B460" s="10">
        <v>75</v>
      </c>
      <c r="C460" s="13" t="s">
        <v>973</v>
      </c>
      <c r="D460" s="13" t="s">
        <v>976</v>
      </c>
      <c r="E460" s="13" t="s">
        <v>982</v>
      </c>
      <c r="F460" s="10">
        <v>9</v>
      </c>
      <c r="G460" s="10"/>
      <c r="H460" s="1">
        <v>2655</v>
      </c>
      <c r="I460" s="1">
        <v>2202</v>
      </c>
      <c r="J460" s="1">
        <v>2202.8000000000002</v>
      </c>
      <c r="K460" s="2">
        <v>7.5</v>
      </c>
      <c r="L460">
        <v>2202</v>
      </c>
      <c r="M460">
        <v>2204</v>
      </c>
      <c r="N460">
        <v>2203</v>
      </c>
      <c r="O460">
        <v>2202</v>
      </c>
      <c r="P460">
        <v>2203</v>
      </c>
      <c r="S460">
        <v>2213</v>
      </c>
      <c r="T460">
        <v>2218.4</v>
      </c>
      <c r="U460" s="17">
        <v>25.128417540000001</v>
      </c>
      <c r="V460" s="60">
        <v>2317</v>
      </c>
      <c r="W460" s="60">
        <v>2320</v>
      </c>
      <c r="X460" s="60">
        <v>2324</v>
      </c>
      <c r="Y460" s="60">
        <v>2297</v>
      </c>
      <c r="Z460" s="60">
        <v>2323</v>
      </c>
    </row>
    <row r="461" spans="1:26" x14ac:dyDescent="0.6">
      <c r="A461" s="6" t="s">
        <v>864</v>
      </c>
      <c r="B461" s="10">
        <v>75</v>
      </c>
      <c r="C461" s="13" t="s">
        <v>973</v>
      </c>
      <c r="D461" s="13" t="s">
        <v>976</v>
      </c>
      <c r="E461" s="13" t="s">
        <v>982</v>
      </c>
      <c r="F461" s="10">
        <v>10</v>
      </c>
      <c r="G461" s="10"/>
      <c r="H461" s="1">
        <v>2664</v>
      </c>
      <c r="I461" s="1">
        <v>2182</v>
      </c>
      <c r="J461" s="1">
        <v>2183.1999999999998</v>
      </c>
      <c r="K461" s="2">
        <v>7.51</v>
      </c>
      <c r="L461">
        <v>2182</v>
      </c>
      <c r="M461">
        <v>2183</v>
      </c>
      <c r="N461">
        <v>2185</v>
      </c>
      <c r="O461">
        <v>2182</v>
      </c>
      <c r="P461">
        <v>2184</v>
      </c>
      <c r="S461">
        <v>2198</v>
      </c>
      <c r="T461">
        <v>2201.4</v>
      </c>
      <c r="U461" s="17">
        <v>24.971198000000001</v>
      </c>
      <c r="V461" s="60">
        <v>2295</v>
      </c>
      <c r="W461" s="60">
        <v>2300</v>
      </c>
      <c r="X461" s="60">
        <v>2292</v>
      </c>
      <c r="Y461" s="60">
        <v>2292</v>
      </c>
      <c r="Z461" s="60">
        <v>2295</v>
      </c>
    </row>
    <row r="462" spans="1:26" x14ac:dyDescent="0.6">
      <c r="A462" s="6" t="s">
        <v>865</v>
      </c>
      <c r="B462" s="10">
        <v>75</v>
      </c>
      <c r="C462" s="13" t="s">
        <v>973</v>
      </c>
      <c r="D462" s="13" t="s">
        <v>979</v>
      </c>
      <c r="E462" s="13" t="s">
        <v>981</v>
      </c>
      <c r="F462" s="10">
        <v>1</v>
      </c>
      <c r="G462" s="10"/>
      <c r="H462" s="1">
        <v>2774</v>
      </c>
      <c r="I462" s="1">
        <v>2571</v>
      </c>
      <c r="J462" s="1">
        <v>2571.1999999999998</v>
      </c>
      <c r="K462" s="2">
        <v>7.51</v>
      </c>
      <c r="L462">
        <v>2572</v>
      </c>
      <c r="M462">
        <v>2571</v>
      </c>
      <c r="N462">
        <v>2571</v>
      </c>
      <c r="O462">
        <v>2571</v>
      </c>
      <c r="P462">
        <v>2571</v>
      </c>
      <c r="S462">
        <v>2583</v>
      </c>
      <c r="T462">
        <v>2587</v>
      </c>
      <c r="U462" s="17">
        <v>24.70330968</v>
      </c>
      <c r="V462" s="60">
        <v>2673</v>
      </c>
      <c r="W462" s="60">
        <v>2668</v>
      </c>
      <c r="X462" s="60">
        <v>2675</v>
      </c>
      <c r="Y462" s="60">
        <v>2671</v>
      </c>
      <c r="Z462" s="60">
        <v>2675</v>
      </c>
    </row>
    <row r="463" spans="1:26" x14ac:dyDescent="0.6">
      <c r="A463" s="6" t="s">
        <v>866</v>
      </c>
      <c r="B463" s="10">
        <v>75</v>
      </c>
      <c r="C463" s="13" t="s">
        <v>973</v>
      </c>
      <c r="D463" s="13" t="s">
        <v>979</v>
      </c>
      <c r="E463" s="13" t="s">
        <v>983</v>
      </c>
      <c r="F463" s="10">
        <v>2</v>
      </c>
      <c r="G463" s="10"/>
      <c r="H463" s="1">
        <v>2737</v>
      </c>
      <c r="I463" s="1">
        <v>2559</v>
      </c>
      <c r="J463" s="1">
        <v>2559.1999999999998</v>
      </c>
      <c r="K463" s="2">
        <v>7.51</v>
      </c>
      <c r="L463">
        <v>2560</v>
      </c>
      <c r="M463">
        <v>2559</v>
      </c>
      <c r="N463">
        <v>2559</v>
      </c>
      <c r="O463">
        <v>2559</v>
      </c>
      <c r="P463">
        <v>2559</v>
      </c>
      <c r="S463">
        <v>2567</v>
      </c>
      <c r="T463">
        <v>2573.6</v>
      </c>
      <c r="U463" s="17">
        <v>25.490043979999999</v>
      </c>
      <c r="V463" s="60">
        <v>2651</v>
      </c>
      <c r="W463" s="60">
        <v>2658</v>
      </c>
      <c r="X463" s="60">
        <v>2656</v>
      </c>
      <c r="Y463" s="60">
        <v>2658</v>
      </c>
      <c r="Z463" s="60">
        <v>2660</v>
      </c>
    </row>
    <row r="464" spans="1:26" x14ac:dyDescent="0.6">
      <c r="A464" s="6" t="s">
        <v>867</v>
      </c>
      <c r="B464" s="10">
        <v>75</v>
      </c>
      <c r="C464" s="13" t="s">
        <v>973</v>
      </c>
      <c r="D464" s="13" t="s">
        <v>978</v>
      </c>
      <c r="E464" s="13" t="s">
        <v>980</v>
      </c>
      <c r="F464" s="10">
        <v>3</v>
      </c>
      <c r="G464" s="10"/>
      <c r="H464" s="1">
        <v>2749</v>
      </c>
      <c r="I464" s="1">
        <v>2574</v>
      </c>
      <c r="J464" s="1">
        <v>2575</v>
      </c>
      <c r="K464" s="2">
        <v>7.51</v>
      </c>
      <c r="L464">
        <v>2576</v>
      </c>
      <c r="M464">
        <v>2575</v>
      </c>
      <c r="N464">
        <v>2575</v>
      </c>
      <c r="O464">
        <v>2575</v>
      </c>
      <c r="P464">
        <v>2574</v>
      </c>
      <c r="S464">
        <v>2585</v>
      </c>
      <c r="T464">
        <v>2587.6</v>
      </c>
      <c r="U464" s="17">
        <v>24.34545554</v>
      </c>
      <c r="V464" s="60">
        <v>2680</v>
      </c>
      <c r="W464" s="60">
        <v>2672</v>
      </c>
      <c r="X464" s="60">
        <v>2677</v>
      </c>
      <c r="Y464" s="60">
        <v>2675</v>
      </c>
      <c r="Z464" s="60">
        <v>2682</v>
      </c>
    </row>
    <row r="465" spans="1:26" x14ac:dyDescent="0.6">
      <c r="A465" s="6" t="s">
        <v>868</v>
      </c>
      <c r="B465" s="10">
        <v>75</v>
      </c>
      <c r="C465" s="13" t="s">
        <v>973</v>
      </c>
      <c r="D465" s="13" t="s">
        <v>978</v>
      </c>
      <c r="E465" s="13" t="s">
        <v>980</v>
      </c>
      <c r="F465" s="10">
        <v>4</v>
      </c>
      <c r="G465" s="10"/>
      <c r="H465" s="1">
        <v>2700</v>
      </c>
      <c r="I465" s="1">
        <v>2576</v>
      </c>
      <c r="J465" s="1">
        <v>2576.6</v>
      </c>
      <c r="K465" s="2">
        <v>7.51</v>
      </c>
      <c r="L465">
        <v>2577</v>
      </c>
      <c r="M465">
        <v>2577</v>
      </c>
      <c r="N465">
        <v>2576</v>
      </c>
      <c r="O465">
        <v>2577</v>
      </c>
      <c r="P465">
        <v>2576</v>
      </c>
      <c r="S465">
        <v>2589</v>
      </c>
      <c r="T465">
        <v>2592</v>
      </c>
      <c r="U465" s="17">
        <v>24.299634340000001</v>
      </c>
      <c r="V465" s="60">
        <v>2679</v>
      </c>
      <c r="W465" s="60">
        <v>2679</v>
      </c>
      <c r="X465" s="60">
        <v>2682</v>
      </c>
      <c r="Y465" s="60">
        <v>2680</v>
      </c>
      <c r="Z465" s="60">
        <v>2678</v>
      </c>
    </row>
    <row r="466" spans="1:26" x14ac:dyDescent="0.6">
      <c r="A466" s="6" t="s">
        <v>869</v>
      </c>
      <c r="B466" s="10">
        <v>75</v>
      </c>
      <c r="C466" s="13" t="s">
        <v>973</v>
      </c>
      <c r="D466" s="13" t="s">
        <v>978</v>
      </c>
      <c r="E466" s="13" t="s">
        <v>980</v>
      </c>
      <c r="F466" s="10">
        <v>5</v>
      </c>
      <c r="G466" s="10"/>
      <c r="H466" s="1">
        <v>2849</v>
      </c>
      <c r="I466" s="1">
        <v>2561</v>
      </c>
      <c r="J466" s="1">
        <v>2561.8000000000002</v>
      </c>
      <c r="K466" s="2">
        <v>7.51</v>
      </c>
      <c r="L466">
        <v>2562</v>
      </c>
      <c r="M466">
        <v>2561</v>
      </c>
      <c r="N466">
        <v>2563</v>
      </c>
      <c r="O466">
        <v>2561</v>
      </c>
      <c r="P466">
        <v>2562</v>
      </c>
      <c r="S466">
        <v>2572</v>
      </c>
      <c r="T466">
        <v>2575.8000000000002</v>
      </c>
      <c r="U466" s="17">
        <v>24.4470241</v>
      </c>
      <c r="V466" s="60">
        <v>2663</v>
      </c>
      <c r="W466" s="60">
        <v>2662</v>
      </c>
      <c r="X466" s="60">
        <v>2662</v>
      </c>
      <c r="Y466" s="60">
        <v>2659</v>
      </c>
      <c r="Z466" s="60">
        <v>2666</v>
      </c>
    </row>
    <row r="467" spans="1:26" x14ac:dyDescent="0.6">
      <c r="A467" s="6" t="s">
        <v>870</v>
      </c>
      <c r="B467" s="10">
        <v>75</v>
      </c>
      <c r="C467" s="13" t="s">
        <v>973</v>
      </c>
      <c r="D467" s="13" t="s">
        <v>978</v>
      </c>
      <c r="E467" s="13" t="s">
        <v>980</v>
      </c>
      <c r="F467" s="10">
        <v>6</v>
      </c>
      <c r="G467" s="10"/>
      <c r="H467" s="1">
        <v>2808</v>
      </c>
      <c r="I467" s="1">
        <v>2576</v>
      </c>
      <c r="J467" s="1">
        <v>2576.6</v>
      </c>
      <c r="K467" s="2">
        <v>7.5</v>
      </c>
      <c r="L467">
        <v>2577</v>
      </c>
      <c r="M467">
        <v>2576</v>
      </c>
      <c r="N467">
        <v>2577</v>
      </c>
      <c r="O467">
        <v>2577</v>
      </c>
      <c r="P467">
        <v>2576</v>
      </c>
      <c r="S467">
        <v>2590</v>
      </c>
      <c r="T467">
        <v>2592.1999999999998</v>
      </c>
      <c r="U467" s="17">
        <v>24.344791659999999</v>
      </c>
      <c r="V467" s="60">
        <v>2681</v>
      </c>
      <c r="W467" s="60">
        <v>2679</v>
      </c>
      <c r="X467" s="60">
        <v>2681</v>
      </c>
      <c r="Y467" s="60">
        <v>2681</v>
      </c>
      <c r="Z467" s="60">
        <v>2678</v>
      </c>
    </row>
    <row r="468" spans="1:26" x14ac:dyDescent="0.6">
      <c r="A468" s="6" t="s">
        <v>871</v>
      </c>
      <c r="B468" s="10">
        <v>75</v>
      </c>
      <c r="C468" s="13" t="s">
        <v>973</v>
      </c>
      <c r="D468" s="13" t="s">
        <v>978</v>
      </c>
      <c r="E468" s="13" t="s">
        <v>980</v>
      </c>
      <c r="F468" s="10">
        <v>7</v>
      </c>
      <c r="G468" s="10"/>
      <c r="H468" s="1">
        <v>2811</v>
      </c>
      <c r="I468" s="1">
        <v>2578</v>
      </c>
      <c r="J468" s="1">
        <v>2578.6</v>
      </c>
      <c r="K468" s="2">
        <v>7.51</v>
      </c>
      <c r="L468">
        <v>2578</v>
      </c>
      <c r="M468">
        <v>2580</v>
      </c>
      <c r="N468">
        <v>2579</v>
      </c>
      <c r="O468">
        <v>2578</v>
      </c>
      <c r="P468">
        <v>2578</v>
      </c>
      <c r="S468">
        <v>2591</v>
      </c>
      <c r="T468">
        <v>2596.4</v>
      </c>
      <c r="U468" s="17">
        <v>24.283194160000001</v>
      </c>
      <c r="V468" s="60">
        <v>2672</v>
      </c>
      <c r="W468" s="60">
        <v>2671</v>
      </c>
      <c r="X468" s="60">
        <v>2676</v>
      </c>
      <c r="Y468" s="60">
        <v>2678</v>
      </c>
      <c r="Z468" s="60">
        <v>2664</v>
      </c>
    </row>
    <row r="469" spans="1:26" x14ac:dyDescent="0.6">
      <c r="A469" s="6" t="s">
        <v>872</v>
      </c>
      <c r="B469" s="10">
        <v>75</v>
      </c>
      <c r="C469" s="13" t="s">
        <v>973</v>
      </c>
      <c r="D469" s="13" t="s">
        <v>978</v>
      </c>
      <c r="E469" s="13" t="s">
        <v>980</v>
      </c>
      <c r="F469" s="10">
        <v>8</v>
      </c>
      <c r="G469" s="10"/>
      <c r="H469" s="1">
        <v>2766</v>
      </c>
      <c r="I469" s="1">
        <v>2585</v>
      </c>
      <c r="J469" s="1">
        <v>2586.4</v>
      </c>
      <c r="K469" s="2">
        <v>7.51</v>
      </c>
      <c r="L469">
        <v>2588</v>
      </c>
      <c r="M469">
        <v>2588</v>
      </c>
      <c r="N469">
        <v>2586</v>
      </c>
      <c r="O469">
        <v>2585</v>
      </c>
      <c r="P469">
        <v>2585</v>
      </c>
      <c r="S469">
        <v>2597</v>
      </c>
      <c r="T469">
        <v>2599.8000000000002</v>
      </c>
      <c r="U469" s="17">
        <v>25.010652700000001</v>
      </c>
      <c r="V469" s="60">
        <v>2681</v>
      </c>
      <c r="W469" s="60">
        <v>2683</v>
      </c>
      <c r="X469" s="60">
        <v>2692</v>
      </c>
      <c r="Y469" s="60">
        <v>2685</v>
      </c>
      <c r="Z469" s="60">
        <v>2688</v>
      </c>
    </row>
    <row r="470" spans="1:26" x14ac:dyDescent="0.6">
      <c r="A470" s="6" t="s">
        <v>873</v>
      </c>
      <c r="B470" s="10">
        <v>75</v>
      </c>
      <c r="C470" s="13" t="s">
        <v>973</v>
      </c>
      <c r="D470" s="13" t="s">
        <v>978</v>
      </c>
      <c r="E470" s="13" t="s">
        <v>980</v>
      </c>
      <c r="F470" s="10">
        <v>9</v>
      </c>
      <c r="G470" s="10"/>
      <c r="H470" s="1">
        <v>2775</v>
      </c>
      <c r="I470" s="1">
        <v>2572</v>
      </c>
      <c r="J470" s="1">
        <v>2572.6</v>
      </c>
      <c r="K470" s="2">
        <v>7.5</v>
      </c>
      <c r="L470">
        <v>2572</v>
      </c>
      <c r="M470">
        <v>2573</v>
      </c>
      <c r="N470">
        <v>2573</v>
      </c>
      <c r="O470">
        <v>2573</v>
      </c>
      <c r="P470">
        <v>2572</v>
      </c>
      <c r="S470">
        <v>2580</v>
      </c>
      <c r="T470">
        <v>2584</v>
      </c>
      <c r="U470" s="17">
        <v>25.046555819999998</v>
      </c>
      <c r="V470" s="60">
        <v>2680</v>
      </c>
      <c r="W470" s="60">
        <v>2677</v>
      </c>
      <c r="X470" s="60">
        <v>2679</v>
      </c>
      <c r="Y470" s="60">
        <v>2681</v>
      </c>
      <c r="Z470" s="60">
        <v>2676</v>
      </c>
    </row>
    <row r="471" spans="1:26" x14ac:dyDescent="0.6">
      <c r="A471" s="6" t="s">
        <v>874</v>
      </c>
      <c r="B471" s="10">
        <v>75</v>
      </c>
      <c r="C471" s="13" t="s">
        <v>973</v>
      </c>
      <c r="D471" s="13" t="s">
        <v>978</v>
      </c>
      <c r="E471" s="13" t="s">
        <v>980</v>
      </c>
      <c r="F471" s="10">
        <v>10</v>
      </c>
      <c r="G471" s="10"/>
      <c r="H471" s="1">
        <v>2765</v>
      </c>
      <c r="I471" s="1">
        <v>2551</v>
      </c>
      <c r="J471" s="1">
        <v>2552.1999999999998</v>
      </c>
      <c r="K471" s="2">
        <v>7.5</v>
      </c>
      <c r="L471">
        <v>2553</v>
      </c>
      <c r="M471">
        <v>2552</v>
      </c>
      <c r="N471">
        <v>2552</v>
      </c>
      <c r="O471">
        <v>2553</v>
      </c>
      <c r="P471">
        <v>2551</v>
      </c>
      <c r="S471">
        <v>2562</v>
      </c>
      <c r="T471">
        <v>2569.8000000000002</v>
      </c>
      <c r="U471" s="17">
        <v>24.85066368</v>
      </c>
      <c r="V471" s="60">
        <v>2656</v>
      </c>
      <c r="W471" s="60">
        <v>2657</v>
      </c>
      <c r="X471" s="60">
        <v>2655</v>
      </c>
      <c r="Y471" s="60">
        <v>2658</v>
      </c>
      <c r="Z471" s="60">
        <v>2656</v>
      </c>
    </row>
    <row r="472" spans="1:26" x14ac:dyDescent="0.6">
      <c r="A472" s="6" t="s">
        <v>875</v>
      </c>
      <c r="B472" s="10">
        <v>75</v>
      </c>
      <c r="C472" s="13" t="s">
        <v>973</v>
      </c>
      <c r="D472" s="13" t="s">
        <v>978</v>
      </c>
      <c r="E472" s="13" t="s">
        <v>984</v>
      </c>
      <c r="F472" s="10">
        <v>1</v>
      </c>
      <c r="G472" s="10"/>
      <c r="H472" s="1">
        <v>2921</v>
      </c>
      <c r="I472" s="1">
        <v>2570</v>
      </c>
      <c r="J472" s="1">
        <v>2571.1999999999998</v>
      </c>
      <c r="K472" s="2">
        <v>7.51</v>
      </c>
      <c r="L472">
        <v>2570</v>
      </c>
      <c r="M472">
        <v>2572</v>
      </c>
      <c r="N472">
        <v>2571</v>
      </c>
      <c r="O472">
        <v>2572</v>
      </c>
      <c r="P472">
        <v>2571</v>
      </c>
      <c r="S472">
        <v>2582</v>
      </c>
      <c r="T472">
        <v>2585.4</v>
      </c>
      <c r="U472" s="17">
        <v>24.90362648</v>
      </c>
      <c r="V472" s="60">
        <v>2676</v>
      </c>
      <c r="W472" s="60">
        <v>2678</v>
      </c>
      <c r="X472" s="60">
        <v>2678</v>
      </c>
      <c r="Y472" s="60">
        <v>2678</v>
      </c>
      <c r="Z472" s="60">
        <v>2669</v>
      </c>
    </row>
    <row r="473" spans="1:26" x14ac:dyDescent="0.6">
      <c r="A473" s="6" t="s">
        <v>876</v>
      </c>
      <c r="B473" s="10">
        <v>75</v>
      </c>
      <c r="C473" s="13" t="s">
        <v>973</v>
      </c>
      <c r="D473" s="13" t="s">
        <v>978</v>
      </c>
      <c r="E473" s="13" t="s">
        <v>985</v>
      </c>
      <c r="F473" s="10">
        <v>2</v>
      </c>
      <c r="G473" s="10"/>
      <c r="H473" s="1">
        <v>2898</v>
      </c>
      <c r="I473" s="1">
        <v>2558</v>
      </c>
      <c r="J473" s="1">
        <v>2558.4</v>
      </c>
      <c r="K473" s="2">
        <v>7.5</v>
      </c>
      <c r="L473">
        <v>2558</v>
      </c>
      <c r="M473">
        <v>2558</v>
      </c>
      <c r="N473">
        <v>2559</v>
      </c>
      <c r="O473">
        <v>2559</v>
      </c>
      <c r="P473">
        <v>2558</v>
      </c>
      <c r="S473">
        <v>2570</v>
      </c>
      <c r="T473">
        <v>2575.1999999999998</v>
      </c>
      <c r="U473" s="17">
        <v>24.876019079999999</v>
      </c>
      <c r="V473" s="60">
        <v>2666</v>
      </c>
      <c r="W473" s="60">
        <v>2662</v>
      </c>
      <c r="X473" s="60">
        <v>2664</v>
      </c>
      <c r="Y473" s="60">
        <v>2659</v>
      </c>
      <c r="Z473" s="60">
        <v>2661</v>
      </c>
    </row>
    <row r="474" spans="1:26" x14ac:dyDescent="0.6">
      <c r="A474" s="6" t="s">
        <v>877</v>
      </c>
      <c r="B474" s="10">
        <v>75</v>
      </c>
      <c r="C474" s="13" t="s">
        <v>973</v>
      </c>
      <c r="D474" s="13" t="s">
        <v>978</v>
      </c>
      <c r="E474" s="13" t="s">
        <v>982</v>
      </c>
      <c r="F474" s="10">
        <v>3</v>
      </c>
      <c r="G474" s="10"/>
      <c r="H474" s="1">
        <v>2889</v>
      </c>
      <c r="I474" s="1">
        <v>2574</v>
      </c>
      <c r="J474" s="1">
        <v>2574.8000000000002</v>
      </c>
      <c r="K474" s="2">
        <v>7.5</v>
      </c>
      <c r="L474">
        <v>2575</v>
      </c>
      <c r="M474">
        <v>2574</v>
      </c>
      <c r="N474">
        <v>2576</v>
      </c>
      <c r="O474">
        <v>2574</v>
      </c>
      <c r="P474">
        <v>2575</v>
      </c>
      <c r="S474">
        <v>2584</v>
      </c>
      <c r="T474">
        <v>2588.8000000000002</v>
      </c>
      <c r="U474" s="17">
        <v>24.565944160000001</v>
      </c>
      <c r="V474" s="60">
        <v>2684</v>
      </c>
      <c r="W474" s="60">
        <v>2676</v>
      </c>
      <c r="X474" s="60">
        <v>2677</v>
      </c>
      <c r="Y474" s="60">
        <v>2680</v>
      </c>
      <c r="Z474" s="60">
        <v>2684</v>
      </c>
    </row>
    <row r="475" spans="1:26" x14ac:dyDescent="0.6">
      <c r="A475" s="6" t="s">
        <v>878</v>
      </c>
      <c r="B475" s="10">
        <v>75</v>
      </c>
      <c r="C475" s="13" t="s">
        <v>973</v>
      </c>
      <c r="D475" s="13" t="s">
        <v>978</v>
      </c>
      <c r="E475" s="13" t="s">
        <v>982</v>
      </c>
      <c r="F475" s="10">
        <v>4</v>
      </c>
      <c r="G475" s="10"/>
      <c r="H475" s="1">
        <v>2807</v>
      </c>
      <c r="I475" s="1">
        <v>2576</v>
      </c>
      <c r="J475" s="1">
        <v>2576.8000000000002</v>
      </c>
      <c r="K475" s="2">
        <v>7.5</v>
      </c>
      <c r="L475">
        <v>2577</v>
      </c>
      <c r="M475">
        <v>2577</v>
      </c>
      <c r="N475">
        <v>2576</v>
      </c>
      <c r="O475">
        <v>2576</v>
      </c>
      <c r="P475">
        <v>2578</v>
      </c>
      <c r="S475">
        <v>2591</v>
      </c>
      <c r="T475">
        <v>2595.1999999999998</v>
      </c>
      <c r="U475" s="17">
        <v>24.551046400000001</v>
      </c>
      <c r="V475" s="60">
        <v>2681</v>
      </c>
      <c r="W475" s="60">
        <v>2683</v>
      </c>
      <c r="X475" s="60">
        <v>2684</v>
      </c>
      <c r="Y475" s="60">
        <v>2685</v>
      </c>
      <c r="Z475" s="60">
        <v>2673</v>
      </c>
    </row>
    <row r="476" spans="1:26" x14ac:dyDescent="0.6">
      <c r="A476" s="6" t="s">
        <v>879</v>
      </c>
      <c r="B476" s="10">
        <v>75</v>
      </c>
      <c r="C476" s="13" t="s">
        <v>973</v>
      </c>
      <c r="D476" s="13" t="s">
        <v>978</v>
      </c>
      <c r="E476" s="13" t="s">
        <v>982</v>
      </c>
      <c r="F476" s="10">
        <v>5</v>
      </c>
      <c r="G476" s="10"/>
      <c r="H476" s="1">
        <v>3109</v>
      </c>
      <c r="I476" s="1">
        <v>2560</v>
      </c>
      <c r="J476" s="1">
        <v>2561</v>
      </c>
      <c r="K476" s="2">
        <v>7.51</v>
      </c>
      <c r="L476">
        <v>2562</v>
      </c>
      <c r="M476">
        <v>2561</v>
      </c>
      <c r="N476">
        <v>2560</v>
      </c>
      <c r="O476">
        <v>2561</v>
      </c>
      <c r="P476">
        <v>2561</v>
      </c>
      <c r="S476">
        <v>2573</v>
      </c>
      <c r="T476">
        <v>2577.4</v>
      </c>
      <c r="U476" s="17">
        <v>24.922374999999999</v>
      </c>
      <c r="V476" s="60">
        <v>2662</v>
      </c>
      <c r="W476" s="60">
        <v>2658</v>
      </c>
      <c r="X476" s="60">
        <v>2659</v>
      </c>
      <c r="Y476" s="60">
        <v>2661</v>
      </c>
      <c r="Z476" s="60">
        <v>2666</v>
      </c>
    </row>
    <row r="477" spans="1:26" x14ac:dyDescent="0.6">
      <c r="A477" s="6" t="s">
        <v>880</v>
      </c>
      <c r="B477" s="10">
        <v>75</v>
      </c>
      <c r="C477" s="13" t="s">
        <v>973</v>
      </c>
      <c r="D477" s="13" t="s">
        <v>978</v>
      </c>
      <c r="E477" s="13" t="s">
        <v>982</v>
      </c>
      <c r="F477" s="10">
        <v>6</v>
      </c>
      <c r="G477" s="10"/>
      <c r="H477" s="1">
        <v>2988</v>
      </c>
      <c r="I477" s="1">
        <v>2576</v>
      </c>
      <c r="J477" s="1">
        <v>2577</v>
      </c>
      <c r="K477" s="2">
        <v>7.5</v>
      </c>
      <c r="L477">
        <v>2577</v>
      </c>
      <c r="M477">
        <v>2578</v>
      </c>
      <c r="N477">
        <v>2577</v>
      </c>
      <c r="O477">
        <v>2577</v>
      </c>
      <c r="P477">
        <v>2576</v>
      </c>
      <c r="S477">
        <v>2588</v>
      </c>
      <c r="T477">
        <v>2589.6</v>
      </c>
      <c r="U477" s="17">
        <v>24.496203059999999</v>
      </c>
      <c r="V477" s="60">
        <v>2688</v>
      </c>
      <c r="W477" s="60">
        <v>2680</v>
      </c>
      <c r="X477" s="60">
        <v>2681</v>
      </c>
      <c r="Y477" s="60">
        <v>2680</v>
      </c>
      <c r="Z477" s="60">
        <v>2679</v>
      </c>
    </row>
    <row r="478" spans="1:26" x14ac:dyDescent="0.6">
      <c r="A478" s="6" t="s">
        <v>881</v>
      </c>
      <c r="B478" s="10">
        <v>75</v>
      </c>
      <c r="C478" s="13" t="s">
        <v>973</v>
      </c>
      <c r="D478" s="13" t="s">
        <v>978</v>
      </c>
      <c r="E478" s="13" t="s">
        <v>982</v>
      </c>
      <c r="F478" s="10">
        <v>7</v>
      </c>
      <c r="G478" s="10"/>
      <c r="H478" s="1">
        <v>3015</v>
      </c>
      <c r="I478" s="1">
        <v>2579</v>
      </c>
      <c r="J478" s="1">
        <v>2579.1999999999998</v>
      </c>
      <c r="K478" s="2">
        <v>7.51</v>
      </c>
      <c r="L478">
        <v>2580</v>
      </c>
      <c r="M478">
        <v>2579</v>
      </c>
      <c r="N478">
        <v>2579</v>
      </c>
      <c r="O478">
        <v>2579</v>
      </c>
      <c r="P478">
        <v>2579</v>
      </c>
      <c r="S478">
        <v>2591</v>
      </c>
      <c r="T478">
        <v>2594.1999999999998</v>
      </c>
      <c r="U478" s="17">
        <v>25.194331779999999</v>
      </c>
      <c r="V478" s="60">
        <v>2677</v>
      </c>
      <c r="W478" s="60">
        <v>2681</v>
      </c>
      <c r="X478" s="60">
        <v>2681</v>
      </c>
      <c r="Y478" s="60">
        <v>2676</v>
      </c>
      <c r="Z478" s="60">
        <v>2673</v>
      </c>
    </row>
    <row r="479" spans="1:26" x14ac:dyDescent="0.6">
      <c r="A479" s="6" t="s">
        <v>882</v>
      </c>
      <c r="B479" s="10">
        <v>75</v>
      </c>
      <c r="C479" s="13" t="s">
        <v>973</v>
      </c>
      <c r="D479" s="13" t="s">
        <v>978</v>
      </c>
      <c r="E479" s="13" t="s">
        <v>982</v>
      </c>
      <c r="F479" s="10">
        <v>8</v>
      </c>
      <c r="G479" s="10"/>
      <c r="H479" s="1">
        <v>2951</v>
      </c>
      <c r="I479" s="1">
        <v>2586</v>
      </c>
      <c r="J479" s="1">
        <v>2586.8000000000002</v>
      </c>
      <c r="K479" s="2">
        <v>7.51</v>
      </c>
      <c r="L479">
        <v>2586</v>
      </c>
      <c r="M479">
        <v>2588</v>
      </c>
      <c r="N479">
        <v>2588</v>
      </c>
      <c r="O479">
        <v>2586</v>
      </c>
      <c r="P479">
        <v>2586</v>
      </c>
      <c r="S479">
        <v>2593</v>
      </c>
      <c r="T479">
        <v>2602.8000000000002</v>
      </c>
      <c r="U479" s="17">
        <v>24.342356240000001</v>
      </c>
      <c r="V479" s="60">
        <v>2688</v>
      </c>
      <c r="W479" s="60">
        <v>2682</v>
      </c>
      <c r="X479" s="60">
        <v>2685</v>
      </c>
      <c r="Y479" s="60">
        <v>2686</v>
      </c>
      <c r="Z479" s="60">
        <v>2691</v>
      </c>
    </row>
    <row r="480" spans="1:26" x14ac:dyDescent="0.6">
      <c r="A480" s="6" t="s">
        <v>883</v>
      </c>
      <c r="B480" s="10">
        <v>75</v>
      </c>
      <c r="C480" s="13" t="s">
        <v>973</v>
      </c>
      <c r="D480" s="13" t="s">
        <v>978</v>
      </c>
      <c r="E480" s="13" t="s">
        <v>982</v>
      </c>
      <c r="F480" s="10">
        <v>9</v>
      </c>
      <c r="G480" s="10"/>
      <c r="H480" s="1">
        <v>2961</v>
      </c>
      <c r="I480" s="1">
        <v>2573</v>
      </c>
      <c r="J480" s="1">
        <v>2573.8000000000002</v>
      </c>
      <c r="K480" s="2">
        <v>7.51</v>
      </c>
      <c r="L480">
        <v>2574</v>
      </c>
      <c r="M480">
        <v>2573</v>
      </c>
      <c r="N480">
        <v>2574</v>
      </c>
      <c r="O480">
        <v>2574</v>
      </c>
      <c r="P480">
        <v>2574</v>
      </c>
      <c r="S480">
        <v>2584</v>
      </c>
      <c r="T480">
        <v>2585.6</v>
      </c>
      <c r="U480" s="17">
        <v>24.95706096</v>
      </c>
      <c r="V480" s="60">
        <v>2682</v>
      </c>
      <c r="W480" s="60">
        <v>2681</v>
      </c>
      <c r="X480" s="60">
        <v>2685</v>
      </c>
      <c r="Y480" s="60">
        <v>2677</v>
      </c>
      <c r="Z480" s="60">
        <v>2687</v>
      </c>
    </row>
    <row r="481" spans="1:26" x14ac:dyDescent="0.6">
      <c r="A481" s="6" t="s">
        <v>884</v>
      </c>
      <c r="B481" s="10">
        <v>75</v>
      </c>
      <c r="C481" s="13" t="s">
        <v>973</v>
      </c>
      <c r="D481" s="13" t="s">
        <v>978</v>
      </c>
      <c r="E481" s="13" t="s">
        <v>982</v>
      </c>
      <c r="F481" s="10">
        <v>10</v>
      </c>
      <c r="G481" s="10"/>
      <c r="H481" s="1">
        <v>2969</v>
      </c>
      <c r="I481" s="1">
        <v>2552</v>
      </c>
      <c r="J481" s="1">
        <v>2553.1999999999998</v>
      </c>
      <c r="K481" s="2">
        <v>7.5</v>
      </c>
      <c r="L481">
        <v>2552</v>
      </c>
      <c r="M481">
        <v>2554</v>
      </c>
      <c r="N481">
        <v>2553</v>
      </c>
      <c r="O481">
        <v>2554</v>
      </c>
      <c r="P481">
        <v>2553</v>
      </c>
      <c r="S481">
        <v>2567</v>
      </c>
      <c r="T481">
        <v>2571.8000000000002</v>
      </c>
      <c r="U481" s="17">
        <v>25.22797272</v>
      </c>
      <c r="V481" s="60">
        <v>2669</v>
      </c>
      <c r="W481" s="60">
        <v>2662</v>
      </c>
      <c r="X481" s="60">
        <v>2664</v>
      </c>
      <c r="Y481" s="60">
        <v>2665</v>
      </c>
      <c r="Z481" s="60">
        <v>2668</v>
      </c>
    </row>
    <row r="482" spans="1:26" x14ac:dyDescent="0.6">
      <c r="A482" s="6" t="s">
        <v>885</v>
      </c>
      <c r="B482" s="10">
        <v>100</v>
      </c>
      <c r="C482" s="12" t="s">
        <v>971</v>
      </c>
      <c r="D482" s="13" t="s">
        <v>977</v>
      </c>
      <c r="E482" s="13" t="s">
        <v>981</v>
      </c>
      <c r="F482" s="10">
        <v>1</v>
      </c>
      <c r="G482" s="10"/>
      <c r="H482" s="1">
        <v>2183</v>
      </c>
      <c r="I482" s="1">
        <v>1931</v>
      </c>
      <c r="J482" s="1">
        <v>1932.6</v>
      </c>
      <c r="K482" s="2">
        <v>10</v>
      </c>
      <c r="L482">
        <v>1932</v>
      </c>
      <c r="M482">
        <v>1931</v>
      </c>
      <c r="N482">
        <v>1934</v>
      </c>
      <c r="O482">
        <v>1934</v>
      </c>
      <c r="P482">
        <v>1932</v>
      </c>
      <c r="S482">
        <v>1946</v>
      </c>
      <c r="T482">
        <v>1950.4</v>
      </c>
      <c r="U482" s="17">
        <v>41.3664311</v>
      </c>
      <c r="V482" s="60">
        <v>1954</v>
      </c>
      <c r="W482" s="60">
        <v>1950</v>
      </c>
      <c r="X482" s="60">
        <v>1945</v>
      </c>
      <c r="Y482" s="60">
        <v>1949</v>
      </c>
      <c r="Z482" s="60">
        <v>1961</v>
      </c>
    </row>
    <row r="483" spans="1:26" x14ac:dyDescent="0.6">
      <c r="A483" s="6" t="s">
        <v>886</v>
      </c>
      <c r="B483" s="10">
        <v>100</v>
      </c>
      <c r="C483" s="12" t="s">
        <v>972</v>
      </c>
      <c r="D483" s="13" t="s">
        <v>977</v>
      </c>
      <c r="E483" s="13" t="s">
        <v>983</v>
      </c>
      <c r="F483" s="10">
        <v>2</v>
      </c>
      <c r="G483" s="10"/>
      <c r="H483" s="1">
        <v>2221</v>
      </c>
      <c r="I483" s="1">
        <v>1930</v>
      </c>
      <c r="J483" s="1">
        <v>1931</v>
      </c>
      <c r="K483" s="2">
        <v>10.01</v>
      </c>
      <c r="L483">
        <v>1931</v>
      </c>
      <c r="M483">
        <v>1930</v>
      </c>
      <c r="N483">
        <v>1932</v>
      </c>
      <c r="O483">
        <v>1931</v>
      </c>
      <c r="P483">
        <v>1931</v>
      </c>
      <c r="S483">
        <v>1942</v>
      </c>
      <c r="T483">
        <v>1945.2</v>
      </c>
      <c r="U483" s="17">
        <v>41.333082560000001</v>
      </c>
      <c r="V483" s="60">
        <v>1952</v>
      </c>
      <c r="W483" s="60">
        <v>1942</v>
      </c>
      <c r="X483" s="60">
        <v>1941</v>
      </c>
      <c r="Y483" s="60">
        <v>1943</v>
      </c>
      <c r="Z483" s="60">
        <v>1949</v>
      </c>
    </row>
    <row r="484" spans="1:26" x14ac:dyDescent="0.6">
      <c r="A484" s="6" t="s">
        <v>887</v>
      </c>
      <c r="B484" s="10">
        <v>100</v>
      </c>
      <c r="C484" s="12" t="s">
        <v>970</v>
      </c>
      <c r="D484" s="13" t="s">
        <v>976</v>
      </c>
      <c r="E484" s="13" t="s">
        <v>980</v>
      </c>
      <c r="F484" s="10">
        <v>3</v>
      </c>
      <c r="G484" s="10"/>
      <c r="H484" s="1">
        <v>2240</v>
      </c>
      <c r="I484" s="1">
        <v>1953</v>
      </c>
      <c r="J484" s="1">
        <v>1954.2</v>
      </c>
      <c r="K484" s="2">
        <v>10.01</v>
      </c>
      <c r="L484">
        <v>1953</v>
      </c>
      <c r="M484">
        <v>1955</v>
      </c>
      <c r="N484">
        <v>1955</v>
      </c>
      <c r="O484">
        <v>1953</v>
      </c>
      <c r="P484">
        <v>1955</v>
      </c>
      <c r="S484">
        <v>1967</v>
      </c>
      <c r="T484">
        <v>1971.2</v>
      </c>
      <c r="U484" s="17">
        <v>39.400664540000001</v>
      </c>
      <c r="V484" s="60">
        <v>1978</v>
      </c>
      <c r="W484" s="60">
        <v>1971</v>
      </c>
      <c r="X484" s="60">
        <v>1973</v>
      </c>
      <c r="Y484" s="60">
        <v>1972</v>
      </c>
      <c r="Z484" s="60">
        <v>1982</v>
      </c>
    </row>
    <row r="485" spans="1:26" x14ac:dyDescent="0.6">
      <c r="A485" s="6" t="s">
        <v>888</v>
      </c>
      <c r="B485" s="10">
        <v>100</v>
      </c>
      <c r="C485" s="12" t="s">
        <v>970</v>
      </c>
      <c r="D485" s="13" t="s">
        <v>976</v>
      </c>
      <c r="E485" s="13" t="s">
        <v>980</v>
      </c>
      <c r="F485" s="10">
        <v>4</v>
      </c>
      <c r="G485" s="10"/>
      <c r="H485" s="1">
        <v>2108</v>
      </c>
      <c r="I485" s="1">
        <v>1939</v>
      </c>
      <c r="J485" s="1">
        <v>1940.2</v>
      </c>
      <c r="K485" s="2">
        <v>10.01</v>
      </c>
      <c r="L485">
        <v>1942</v>
      </c>
      <c r="M485">
        <v>1941</v>
      </c>
      <c r="N485">
        <v>1939</v>
      </c>
      <c r="O485">
        <v>1940</v>
      </c>
      <c r="P485">
        <v>1939</v>
      </c>
      <c r="S485">
        <v>1955</v>
      </c>
      <c r="T485">
        <v>1958.2</v>
      </c>
      <c r="U485" s="17">
        <v>38.631139220000001</v>
      </c>
      <c r="V485" s="60">
        <v>1964</v>
      </c>
      <c r="W485" s="60">
        <v>1956</v>
      </c>
      <c r="X485" s="60">
        <v>1953</v>
      </c>
      <c r="Y485" s="60">
        <v>1961</v>
      </c>
      <c r="Z485" s="60">
        <v>1957</v>
      </c>
    </row>
    <row r="486" spans="1:26" x14ac:dyDescent="0.6">
      <c r="A486" s="6" t="s">
        <v>889</v>
      </c>
      <c r="B486" s="10">
        <v>100</v>
      </c>
      <c r="C486" s="12" t="s">
        <v>970</v>
      </c>
      <c r="D486" s="13" t="s">
        <v>976</v>
      </c>
      <c r="E486" s="13" t="s">
        <v>980</v>
      </c>
      <c r="F486" s="10">
        <v>5</v>
      </c>
      <c r="G486" s="10"/>
      <c r="H486" s="1">
        <v>2190</v>
      </c>
      <c r="I486" s="1">
        <v>1918</v>
      </c>
      <c r="J486" s="1">
        <v>1919</v>
      </c>
      <c r="K486" s="2">
        <v>10.01</v>
      </c>
      <c r="L486">
        <v>1918</v>
      </c>
      <c r="M486">
        <v>1920</v>
      </c>
      <c r="N486">
        <v>1920</v>
      </c>
      <c r="O486">
        <v>1919</v>
      </c>
      <c r="P486">
        <v>1918</v>
      </c>
      <c r="S486">
        <v>1934</v>
      </c>
      <c r="T486">
        <v>1939.6</v>
      </c>
      <c r="U486" s="17">
        <v>39.005522859999999</v>
      </c>
      <c r="V486" s="60">
        <v>1942</v>
      </c>
      <c r="W486" s="60">
        <v>1937</v>
      </c>
      <c r="X486" s="60">
        <v>1941</v>
      </c>
      <c r="Y486" s="60">
        <v>1944</v>
      </c>
      <c r="Z486" s="60">
        <v>1944</v>
      </c>
    </row>
    <row r="487" spans="1:26" x14ac:dyDescent="0.6">
      <c r="A487" s="6" t="s">
        <v>890</v>
      </c>
      <c r="B487" s="10">
        <v>100</v>
      </c>
      <c r="C487" s="12" t="s">
        <v>970</v>
      </c>
      <c r="D487" s="13" t="s">
        <v>976</v>
      </c>
      <c r="E487" s="13" t="s">
        <v>980</v>
      </c>
      <c r="F487" s="10">
        <v>6</v>
      </c>
      <c r="G487" s="10"/>
      <c r="H487" s="1">
        <v>2199</v>
      </c>
      <c r="I487" s="1">
        <v>1945</v>
      </c>
      <c r="J487" s="1">
        <v>1946.2</v>
      </c>
      <c r="K487" s="2">
        <v>10.01</v>
      </c>
      <c r="L487">
        <v>1946</v>
      </c>
      <c r="M487">
        <v>1947</v>
      </c>
      <c r="N487">
        <v>1946</v>
      </c>
      <c r="O487">
        <v>1945</v>
      </c>
      <c r="P487">
        <v>1947</v>
      </c>
      <c r="S487">
        <v>1963</v>
      </c>
      <c r="T487">
        <v>1965.2</v>
      </c>
      <c r="U487" s="17">
        <v>39.142105020000002</v>
      </c>
      <c r="V487" s="60">
        <v>1969</v>
      </c>
      <c r="W487" s="60">
        <v>1962</v>
      </c>
      <c r="X487" s="60">
        <v>1972</v>
      </c>
      <c r="Y487" s="60">
        <v>1958</v>
      </c>
      <c r="Z487" s="60">
        <v>1966</v>
      </c>
    </row>
    <row r="488" spans="1:26" x14ac:dyDescent="0.6">
      <c r="A488" s="6" t="s">
        <v>891</v>
      </c>
      <c r="B488" s="10">
        <v>100</v>
      </c>
      <c r="C488" s="12" t="s">
        <v>970</v>
      </c>
      <c r="D488" s="13" t="s">
        <v>976</v>
      </c>
      <c r="E488" s="13" t="s">
        <v>980</v>
      </c>
      <c r="F488" s="10">
        <v>7</v>
      </c>
      <c r="G488" s="10"/>
      <c r="H488" s="1">
        <v>2153</v>
      </c>
      <c r="I488" s="1">
        <v>1934</v>
      </c>
      <c r="J488" s="1">
        <v>1935</v>
      </c>
      <c r="K488" s="2">
        <v>10</v>
      </c>
      <c r="L488">
        <v>1936</v>
      </c>
      <c r="M488">
        <v>1934</v>
      </c>
      <c r="N488">
        <v>1935</v>
      </c>
      <c r="O488">
        <v>1935</v>
      </c>
      <c r="P488">
        <v>1935</v>
      </c>
      <c r="S488">
        <v>1947</v>
      </c>
      <c r="T488">
        <v>1949.2</v>
      </c>
      <c r="U488" s="17">
        <v>38.987541139999998</v>
      </c>
      <c r="V488" s="60">
        <v>1952</v>
      </c>
      <c r="W488" s="60">
        <v>1952</v>
      </c>
      <c r="X488" s="60">
        <v>1962</v>
      </c>
      <c r="Y488" s="60">
        <v>1959</v>
      </c>
      <c r="Z488" s="60">
        <v>1951</v>
      </c>
    </row>
    <row r="489" spans="1:26" x14ac:dyDescent="0.6">
      <c r="A489" s="6" t="s">
        <v>892</v>
      </c>
      <c r="B489" s="10">
        <v>100</v>
      </c>
      <c r="C489" s="12" t="s">
        <v>970</v>
      </c>
      <c r="D489" s="13" t="s">
        <v>976</v>
      </c>
      <c r="E489" s="13" t="s">
        <v>980</v>
      </c>
      <c r="F489" s="10">
        <v>8</v>
      </c>
      <c r="G489" s="10"/>
      <c r="H489" s="1">
        <v>2241</v>
      </c>
      <c r="I489" s="1">
        <v>1935</v>
      </c>
      <c r="J489" s="1">
        <v>1936.6</v>
      </c>
      <c r="K489" s="2">
        <v>10.01</v>
      </c>
      <c r="L489">
        <v>1935</v>
      </c>
      <c r="M489">
        <v>1937</v>
      </c>
      <c r="N489">
        <v>1937</v>
      </c>
      <c r="O489">
        <v>1938</v>
      </c>
      <c r="P489">
        <v>1936</v>
      </c>
      <c r="S489">
        <v>1954</v>
      </c>
      <c r="T489">
        <v>1956</v>
      </c>
      <c r="U489" s="17">
        <v>38.634186980000003</v>
      </c>
      <c r="V489" s="60">
        <v>1956</v>
      </c>
      <c r="W489" s="60">
        <v>1950</v>
      </c>
      <c r="X489" s="60">
        <v>1959</v>
      </c>
      <c r="Y489" s="60">
        <v>1950</v>
      </c>
      <c r="Z489" s="60">
        <v>1954</v>
      </c>
    </row>
    <row r="490" spans="1:26" x14ac:dyDescent="0.6">
      <c r="A490" s="6" t="s">
        <v>893</v>
      </c>
      <c r="B490" s="10">
        <v>100</v>
      </c>
      <c r="C490" s="12" t="s">
        <v>970</v>
      </c>
      <c r="D490" s="13" t="s">
        <v>976</v>
      </c>
      <c r="E490" s="13" t="s">
        <v>980</v>
      </c>
      <c r="F490" s="10">
        <v>9</v>
      </c>
      <c r="G490" s="10"/>
      <c r="H490" s="1">
        <v>2201</v>
      </c>
      <c r="I490" s="1">
        <v>1953</v>
      </c>
      <c r="J490" s="1">
        <v>1954.4</v>
      </c>
      <c r="K490" s="2">
        <v>10.01</v>
      </c>
      <c r="L490">
        <v>1953</v>
      </c>
      <c r="M490">
        <v>1954</v>
      </c>
      <c r="N490">
        <v>1956</v>
      </c>
      <c r="O490">
        <v>1955</v>
      </c>
      <c r="P490">
        <v>1954</v>
      </c>
      <c r="S490">
        <v>1966</v>
      </c>
      <c r="T490">
        <v>1972.6</v>
      </c>
      <c r="U490" s="17">
        <v>39.357474320000001</v>
      </c>
      <c r="V490" s="60">
        <v>1976</v>
      </c>
      <c r="W490" s="60">
        <v>1970</v>
      </c>
      <c r="X490" s="60">
        <v>1979</v>
      </c>
      <c r="Y490" s="60">
        <v>1975</v>
      </c>
      <c r="Z490" s="60">
        <v>1973</v>
      </c>
    </row>
    <row r="491" spans="1:26" x14ac:dyDescent="0.6">
      <c r="A491" s="6" t="s">
        <v>894</v>
      </c>
      <c r="B491" s="10">
        <v>100</v>
      </c>
      <c r="C491" s="12" t="s">
        <v>970</v>
      </c>
      <c r="D491" s="13" t="s">
        <v>976</v>
      </c>
      <c r="E491" s="13" t="s">
        <v>980</v>
      </c>
      <c r="F491" s="10">
        <v>10</v>
      </c>
      <c r="G491" s="10"/>
      <c r="H491" s="1">
        <v>2296</v>
      </c>
      <c r="I491" s="1">
        <v>1906</v>
      </c>
      <c r="J491" s="1">
        <v>1907.6</v>
      </c>
      <c r="K491" s="2">
        <v>10.01</v>
      </c>
      <c r="L491">
        <v>1908</v>
      </c>
      <c r="M491">
        <v>1906</v>
      </c>
      <c r="N491">
        <v>1908</v>
      </c>
      <c r="O491">
        <v>1908</v>
      </c>
      <c r="P491">
        <v>1908</v>
      </c>
      <c r="S491">
        <v>1915</v>
      </c>
      <c r="T491">
        <v>1921</v>
      </c>
      <c r="U491" s="17">
        <v>39.543063240000002</v>
      </c>
      <c r="V491" s="60">
        <v>1922</v>
      </c>
      <c r="W491" s="60">
        <v>1926</v>
      </c>
      <c r="X491" s="60">
        <v>1921</v>
      </c>
      <c r="Y491" s="60">
        <v>1924</v>
      </c>
      <c r="Z491" s="60">
        <v>1923</v>
      </c>
    </row>
    <row r="492" spans="1:26" x14ac:dyDescent="0.6">
      <c r="A492" s="6" t="s">
        <v>895</v>
      </c>
      <c r="B492" s="10">
        <v>100</v>
      </c>
      <c r="C492" s="12" t="s">
        <v>970</v>
      </c>
      <c r="D492" s="13" t="s">
        <v>976</v>
      </c>
      <c r="E492" s="13" t="s">
        <v>984</v>
      </c>
      <c r="F492" s="10">
        <v>1</v>
      </c>
      <c r="G492" s="10"/>
      <c r="H492" s="1">
        <v>2441</v>
      </c>
      <c r="I492" s="1">
        <v>1931</v>
      </c>
      <c r="J492" s="1">
        <v>1932</v>
      </c>
      <c r="K492" s="2">
        <v>10.01</v>
      </c>
      <c r="L492">
        <v>1932</v>
      </c>
      <c r="M492">
        <v>1933</v>
      </c>
      <c r="N492">
        <v>1931</v>
      </c>
      <c r="O492">
        <v>1932</v>
      </c>
      <c r="P492">
        <v>1932</v>
      </c>
      <c r="S492">
        <v>1948</v>
      </c>
      <c r="T492">
        <v>1952.2</v>
      </c>
      <c r="U492" s="17">
        <v>39.613391319999998</v>
      </c>
      <c r="V492" s="60">
        <v>1949</v>
      </c>
      <c r="W492" s="60">
        <v>1955</v>
      </c>
      <c r="X492" s="60">
        <v>1946</v>
      </c>
      <c r="Y492" s="60">
        <v>1953</v>
      </c>
      <c r="Z492" s="60">
        <v>1960</v>
      </c>
    </row>
    <row r="493" spans="1:26" x14ac:dyDescent="0.6">
      <c r="A493" s="6" t="s">
        <v>896</v>
      </c>
      <c r="B493" s="10">
        <v>100</v>
      </c>
      <c r="C493" s="12" t="s">
        <v>970</v>
      </c>
      <c r="D493" s="13" t="s">
        <v>976</v>
      </c>
      <c r="E493" s="13" t="s">
        <v>985</v>
      </c>
      <c r="F493" s="10">
        <v>2</v>
      </c>
      <c r="G493" s="10"/>
      <c r="H493" s="1">
        <v>2481</v>
      </c>
      <c r="I493" s="1">
        <v>1930</v>
      </c>
      <c r="J493" s="1">
        <v>1930.6</v>
      </c>
      <c r="K493" s="2">
        <v>10.01</v>
      </c>
      <c r="L493">
        <v>1930</v>
      </c>
      <c r="M493">
        <v>1931</v>
      </c>
      <c r="N493">
        <v>1930</v>
      </c>
      <c r="O493">
        <v>1931</v>
      </c>
      <c r="P493">
        <v>1931</v>
      </c>
      <c r="S493">
        <v>1939</v>
      </c>
      <c r="T493">
        <v>1948.6</v>
      </c>
      <c r="U493" s="17">
        <v>38.751852460000002</v>
      </c>
      <c r="V493" s="60">
        <v>1944</v>
      </c>
      <c r="W493" s="60">
        <v>1941</v>
      </c>
      <c r="X493" s="60">
        <v>1949</v>
      </c>
      <c r="Y493" s="60">
        <v>1946</v>
      </c>
      <c r="Z493" s="60">
        <v>1947</v>
      </c>
    </row>
    <row r="494" spans="1:26" x14ac:dyDescent="0.6">
      <c r="A494" s="6" t="s">
        <v>897</v>
      </c>
      <c r="B494" s="10">
        <v>100</v>
      </c>
      <c r="C494" s="12" t="s">
        <v>970</v>
      </c>
      <c r="D494" s="13" t="s">
        <v>976</v>
      </c>
      <c r="E494" s="13" t="s">
        <v>982</v>
      </c>
      <c r="F494" s="10">
        <v>3</v>
      </c>
      <c r="G494" s="10"/>
      <c r="H494" s="1">
        <v>2474</v>
      </c>
      <c r="I494" s="1">
        <v>1954</v>
      </c>
      <c r="J494" s="1">
        <v>1954.6</v>
      </c>
      <c r="K494" s="2">
        <v>10.01</v>
      </c>
      <c r="L494">
        <v>1954</v>
      </c>
      <c r="M494">
        <v>1955</v>
      </c>
      <c r="N494">
        <v>1955</v>
      </c>
      <c r="O494">
        <v>1954</v>
      </c>
      <c r="P494">
        <v>1955</v>
      </c>
      <c r="S494">
        <v>1971</v>
      </c>
      <c r="T494">
        <v>1972.8</v>
      </c>
      <c r="U494" s="17">
        <v>39.38153544</v>
      </c>
      <c r="V494" s="60">
        <v>1977</v>
      </c>
      <c r="W494" s="60">
        <v>1971</v>
      </c>
      <c r="X494" s="60">
        <v>1972</v>
      </c>
      <c r="Y494" s="60">
        <v>1973</v>
      </c>
      <c r="Z494" s="60">
        <v>1973</v>
      </c>
    </row>
    <row r="495" spans="1:26" x14ac:dyDescent="0.6">
      <c r="A495" s="6" t="s">
        <v>898</v>
      </c>
      <c r="B495" s="10">
        <v>100</v>
      </c>
      <c r="C495" s="12" t="s">
        <v>970</v>
      </c>
      <c r="D495" s="13" t="s">
        <v>976</v>
      </c>
      <c r="E495" s="13" t="s">
        <v>982</v>
      </c>
      <c r="F495" s="10">
        <v>4</v>
      </c>
      <c r="G495" s="10"/>
      <c r="H495" s="1">
        <v>2243</v>
      </c>
      <c r="I495" s="1">
        <v>1940</v>
      </c>
      <c r="J495" s="1">
        <v>1941.2</v>
      </c>
      <c r="K495" s="2">
        <v>10.01</v>
      </c>
      <c r="L495">
        <v>1942</v>
      </c>
      <c r="M495">
        <v>1941</v>
      </c>
      <c r="N495">
        <v>1942</v>
      </c>
      <c r="O495">
        <v>1940</v>
      </c>
      <c r="P495">
        <v>1941</v>
      </c>
      <c r="S495">
        <v>1953</v>
      </c>
      <c r="T495">
        <v>1958.2</v>
      </c>
      <c r="U495" s="17">
        <v>39.087786020000003</v>
      </c>
      <c r="V495" s="60">
        <v>1959</v>
      </c>
      <c r="W495" s="60">
        <v>1955</v>
      </c>
      <c r="X495" s="60">
        <v>1954</v>
      </c>
      <c r="Y495" s="60">
        <v>1951</v>
      </c>
      <c r="Z495" s="60">
        <v>1948</v>
      </c>
    </row>
    <row r="496" spans="1:26" x14ac:dyDescent="0.6">
      <c r="A496" s="6" t="s">
        <v>899</v>
      </c>
      <c r="B496" s="10">
        <v>100</v>
      </c>
      <c r="C496" s="12" t="s">
        <v>970</v>
      </c>
      <c r="D496" s="13" t="s">
        <v>976</v>
      </c>
      <c r="E496" s="13" t="s">
        <v>982</v>
      </c>
      <c r="F496" s="10">
        <v>5</v>
      </c>
      <c r="G496" s="10"/>
      <c r="H496" s="1">
        <v>2431</v>
      </c>
      <c r="I496" s="1">
        <v>1919</v>
      </c>
      <c r="J496" s="1">
        <v>1919.8</v>
      </c>
      <c r="K496" s="2">
        <v>10.01</v>
      </c>
      <c r="L496">
        <v>1920</v>
      </c>
      <c r="M496">
        <v>1919</v>
      </c>
      <c r="N496">
        <v>1921</v>
      </c>
      <c r="O496">
        <v>1920</v>
      </c>
      <c r="P496">
        <v>1919</v>
      </c>
      <c r="S496">
        <v>1932</v>
      </c>
      <c r="T496">
        <v>1937.2</v>
      </c>
      <c r="U496" s="17">
        <v>40.164488800000001</v>
      </c>
      <c r="V496" s="60">
        <v>1944</v>
      </c>
      <c r="W496" s="60">
        <v>1936</v>
      </c>
      <c r="X496" s="60">
        <v>1934</v>
      </c>
      <c r="Y496" s="60">
        <v>1951</v>
      </c>
      <c r="Z496" s="60">
        <v>1945</v>
      </c>
    </row>
    <row r="497" spans="1:26" x14ac:dyDescent="0.6">
      <c r="A497" s="6" t="s">
        <v>900</v>
      </c>
      <c r="B497" s="10">
        <v>100</v>
      </c>
      <c r="C497" s="12" t="s">
        <v>970</v>
      </c>
      <c r="D497" s="13" t="s">
        <v>976</v>
      </c>
      <c r="E497" s="13" t="s">
        <v>982</v>
      </c>
      <c r="F497" s="10">
        <v>6</v>
      </c>
      <c r="G497" s="10"/>
      <c r="H497" s="1">
        <v>2437</v>
      </c>
      <c r="I497" s="1">
        <v>1945</v>
      </c>
      <c r="J497" s="1">
        <v>1946.6</v>
      </c>
      <c r="K497" s="2">
        <v>10.01</v>
      </c>
      <c r="L497">
        <v>1949</v>
      </c>
      <c r="M497">
        <v>1947</v>
      </c>
      <c r="N497">
        <v>1946</v>
      </c>
      <c r="O497">
        <v>1946</v>
      </c>
      <c r="P497">
        <v>1945</v>
      </c>
      <c r="S497">
        <v>1958</v>
      </c>
      <c r="T497">
        <v>1964.2</v>
      </c>
      <c r="U497" s="17">
        <v>39.016682359999997</v>
      </c>
      <c r="V497" s="60">
        <v>1957</v>
      </c>
      <c r="W497" s="60">
        <v>1960</v>
      </c>
      <c r="X497" s="60">
        <v>1965</v>
      </c>
      <c r="Y497" s="60">
        <v>1964</v>
      </c>
      <c r="Z497" s="60">
        <v>1967</v>
      </c>
    </row>
    <row r="498" spans="1:26" x14ac:dyDescent="0.6">
      <c r="A498" s="6" t="s">
        <v>901</v>
      </c>
      <c r="B498" s="10">
        <v>100</v>
      </c>
      <c r="C498" s="12" t="s">
        <v>970</v>
      </c>
      <c r="D498" s="13" t="s">
        <v>976</v>
      </c>
      <c r="E498" s="13" t="s">
        <v>982</v>
      </c>
      <c r="F498" s="10">
        <v>7</v>
      </c>
      <c r="G498" s="10"/>
      <c r="H498" s="1">
        <v>2357</v>
      </c>
      <c r="I498" s="1">
        <v>1935</v>
      </c>
      <c r="J498" s="1">
        <v>1936.2</v>
      </c>
      <c r="K498" s="2">
        <v>10.01</v>
      </c>
      <c r="L498">
        <v>1936</v>
      </c>
      <c r="M498">
        <v>1937</v>
      </c>
      <c r="N498">
        <v>1937</v>
      </c>
      <c r="O498">
        <v>1935</v>
      </c>
      <c r="P498">
        <v>1936</v>
      </c>
      <c r="S498">
        <v>1947</v>
      </c>
      <c r="T498">
        <v>1954.2</v>
      </c>
      <c r="U498" s="17">
        <v>37.905823300000002</v>
      </c>
      <c r="V498" s="60">
        <v>1947</v>
      </c>
      <c r="W498" s="60">
        <v>1954</v>
      </c>
      <c r="X498" s="60">
        <v>1958</v>
      </c>
      <c r="Y498" s="60">
        <v>1946</v>
      </c>
      <c r="Z498" s="60">
        <v>1953</v>
      </c>
    </row>
    <row r="499" spans="1:26" x14ac:dyDescent="0.6">
      <c r="A499" s="6" t="s">
        <v>902</v>
      </c>
      <c r="B499" s="10">
        <v>100</v>
      </c>
      <c r="C499" s="12" t="s">
        <v>970</v>
      </c>
      <c r="D499" s="13" t="s">
        <v>976</v>
      </c>
      <c r="E499" s="13" t="s">
        <v>982</v>
      </c>
      <c r="F499" s="10">
        <v>8</v>
      </c>
      <c r="G499" s="10"/>
      <c r="H499" s="1">
        <v>2496</v>
      </c>
      <c r="I499" s="1">
        <v>1934</v>
      </c>
      <c r="J499" s="1">
        <v>1936</v>
      </c>
      <c r="K499" s="2">
        <v>10.01</v>
      </c>
      <c r="L499">
        <v>1934</v>
      </c>
      <c r="M499">
        <v>1937</v>
      </c>
      <c r="N499">
        <v>1936</v>
      </c>
      <c r="O499">
        <v>1935</v>
      </c>
      <c r="P499">
        <v>1938</v>
      </c>
      <c r="S499">
        <v>1952</v>
      </c>
      <c r="T499">
        <v>1955.8</v>
      </c>
      <c r="U499" s="17">
        <v>39.076341020000001</v>
      </c>
      <c r="V499" s="60">
        <v>1946</v>
      </c>
      <c r="W499" s="60">
        <v>1951</v>
      </c>
      <c r="X499" s="60">
        <v>1953</v>
      </c>
      <c r="Y499" s="60">
        <v>1954</v>
      </c>
      <c r="Z499" s="60">
        <v>1959</v>
      </c>
    </row>
    <row r="500" spans="1:26" x14ac:dyDescent="0.6">
      <c r="A500" s="6" t="s">
        <v>903</v>
      </c>
      <c r="B500" s="10">
        <v>100</v>
      </c>
      <c r="C500" s="12" t="s">
        <v>970</v>
      </c>
      <c r="D500" s="13" t="s">
        <v>976</v>
      </c>
      <c r="E500" s="13" t="s">
        <v>982</v>
      </c>
      <c r="F500" s="10">
        <v>9</v>
      </c>
      <c r="G500" s="10"/>
      <c r="H500" s="1">
        <v>2424</v>
      </c>
      <c r="I500" s="1">
        <v>1954</v>
      </c>
      <c r="J500" s="1">
        <v>1955.2</v>
      </c>
      <c r="K500" s="2">
        <v>10</v>
      </c>
      <c r="L500">
        <v>1954</v>
      </c>
      <c r="M500">
        <v>1954</v>
      </c>
      <c r="N500">
        <v>1955</v>
      </c>
      <c r="O500">
        <v>1956</v>
      </c>
      <c r="P500">
        <v>1957</v>
      </c>
      <c r="S500">
        <v>1969</v>
      </c>
      <c r="T500">
        <v>1973.8</v>
      </c>
      <c r="U500" s="17">
        <v>38.911809140000003</v>
      </c>
      <c r="V500" s="60">
        <v>1976</v>
      </c>
      <c r="W500" s="60">
        <v>1968</v>
      </c>
      <c r="X500" s="60">
        <v>1971</v>
      </c>
      <c r="Y500" s="60">
        <v>1973</v>
      </c>
      <c r="Z500" s="60">
        <v>1971</v>
      </c>
    </row>
    <row r="501" spans="1:26" x14ac:dyDescent="0.6">
      <c r="A501" s="6" t="s">
        <v>904</v>
      </c>
      <c r="B501" s="10">
        <v>100</v>
      </c>
      <c r="C501" s="12" t="s">
        <v>970</v>
      </c>
      <c r="D501" s="13" t="s">
        <v>976</v>
      </c>
      <c r="E501" s="13" t="s">
        <v>982</v>
      </c>
      <c r="F501" s="10">
        <v>10</v>
      </c>
      <c r="G501" s="10"/>
      <c r="H501" s="1">
        <v>2615</v>
      </c>
      <c r="I501" s="1">
        <v>1907</v>
      </c>
      <c r="J501" s="1">
        <v>1908</v>
      </c>
      <c r="K501" s="2">
        <v>10.01</v>
      </c>
      <c r="L501">
        <v>1909</v>
      </c>
      <c r="M501">
        <v>1908</v>
      </c>
      <c r="N501">
        <v>1908</v>
      </c>
      <c r="O501">
        <v>1908</v>
      </c>
      <c r="P501">
        <v>1907</v>
      </c>
      <c r="S501">
        <v>1921</v>
      </c>
      <c r="T501">
        <v>1924.4</v>
      </c>
      <c r="U501" s="17">
        <v>38.561430420000001</v>
      </c>
      <c r="V501" s="60">
        <v>1927</v>
      </c>
      <c r="W501" s="60">
        <v>1925</v>
      </c>
      <c r="X501" s="60">
        <v>1923</v>
      </c>
      <c r="Y501" s="60">
        <v>1925</v>
      </c>
      <c r="Z501" s="60">
        <v>1930</v>
      </c>
    </row>
    <row r="502" spans="1:26" x14ac:dyDescent="0.6">
      <c r="A502" s="6" t="s">
        <v>905</v>
      </c>
      <c r="B502" s="10">
        <v>100</v>
      </c>
      <c r="C502" s="12" t="s">
        <v>970</v>
      </c>
      <c r="D502" s="13" t="s">
        <v>979</v>
      </c>
      <c r="E502" s="13" t="s">
        <v>981</v>
      </c>
      <c r="F502" s="10">
        <v>1</v>
      </c>
      <c r="G502" s="10"/>
      <c r="H502" s="1">
        <v>2624</v>
      </c>
      <c r="I502" s="1">
        <v>2425</v>
      </c>
      <c r="J502" s="1">
        <v>2426.4</v>
      </c>
      <c r="K502" s="2">
        <v>10.01</v>
      </c>
      <c r="L502">
        <v>2428</v>
      </c>
      <c r="M502">
        <v>2426</v>
      </c>
      <c r="N502">
        <v>2426</v>
      </c>
      <c r="O502">
        <v>2427</v>
      </c>
      <c r="P502">
        <v>2425</v>
      </c>
      <c r="S502">
        <v>2441</v>
      </c>
      <c r="T502">
        <v>2447.1999999999998</v>
      </c>
      <c r="U502" s="17">
        <v>38.77212222</v>
      </c>
      <c r="V502" s="60">
        <v>2440</v>
      </c>
      <c r="W502" s="60">
        <v>2440</v>
      </c>
      <c r="X502" s="60">
        <v>2441</v>
      </c>
      <c r="Y502" s="60">
        <v>2443</v>
      </c>
      <c r="Z502" s="60">
        <v>2444</v>
      </c>
    </row>
    <row r="503" spans="1:26" x14ac:dyDescent="0.6">
      <c r="A503" s="6" t="s">
        <v>906</v>
      </c>
      <c r="B503" s="10">
        <v>100</v>
      </c>
      <c r="C503" s="12" t="s">
        <v>970</v>
      </c>
      <c r="D503" s="13" t="s">
        <v>979</v>
      </c>
      <c r="E503" s="13" t="s">
        <v>983</v>
      </c>
      <c r="F503" s="10">
        <v>2</v>
      </c>
      <c r="G503" s="10"/>
      <c r="H503" s="1">
        <v>2647</v>
      </c>
      <c r="I503" s="1">
        <v>2424</v>
      </c>
      <c r="J503" s="1">
        <v>2425.1999999999998</v>
      </c>
      <c r="K503" s="2">
        <v>10.01</v>
      </c>
      <c r="L503">
        <v>2425</v>
      </c>
      <c r="M503">
        <v>2424</v>
      </c>
      <c r="N503">
        <v>2426</v>
      </c>
      <c r="O503">
        <v>2426</v>
      </c>
      <c r="P503">
        <v>2425</v>
      </c>
      <c r="S503">
        <v>2438</v>
      </c>
      <c r="T503">
        <v>2443</v>
      </c>
      <c r="U503" s="17">
        <v>38.572296799999997</v>
      </c>
      <c r="V503" s="60">
        <v>2443</v>
      </c>
      <c r="W503" s="60">
        <v>2444</v>
      </c>
      <c r="X503" s="60">
        <v>2443</v>
      </c>
      <c r="Y503" s="60">
        <v>2441</v>
      </c>
      <c r="Z503" s="60">
        <v>2448</v>
      </c>
    </row>
    <row r="504" spans="1:26" x14ac:dyDescent="0.6">
      <c r="A504" s="6" t="s">
        <v>907</v>
      </c>
      <c r="B504" s="10">
        <v>100</v>
      </c>
      <c r="C504" s="12" t="s">
        <v>970</v>
      </c>
      <c r="D504" s="13" t="s">
        <v>978</v>
      </c>
      <c r="E504" s="13" t="s">
        <v>980</v>
      </c>
      <c r="F504" s="10">
        <v>3</v>
      </c>
      <c r="G504" s="10"/>
      <c r="H504" s="1">
        <v>2685</v>
      </c>
      <c r="I504" s="1">
        <v>2448</v>
      </c>
      <c r="J504" s="1">
        <v>2449.6</v>
      </c>
      <c r="K504" s="2">
        <v>10.01</v>
      </c>
      <c r="L504">
        <v>2450</v>
      </c>
      <c r="M504">
        <v>2448</v>
      </c>
      <c r="N504">
        <v>2452</v>
      </c>
      <c r="O504">
        <v>2449</v>
      </c>
      <c r="P504">
        <v>2449</v>
      </c>
      <c r="S504">
        <v>2465</v>
      </c>
      <c r="T504">
        <v>2468.8000000000002</v>
      </c>
      <c r="U504" s="17">
        <v>38.153379819999998</v>
      </c>
      <c r="V504" s="60">
        <v>2477</v>
      </c>
      <c r="W504" s="60">
        <v>2467</v>
      </c>
      <c r="X504" s="60">
        <v>2470</v>
      </c>
      <c r="Y504" s="60">
        <v>2466</v>
      </c>
      <c r="Z504" s="60">
        <v>2467</v>
      </c>
    </row>
    <row r="505" spans="1:26" x14ac:dyDescent="0.6">
      <c r="A505" s="6" t="s">
        <v>908</v>
      </c>
      <c r="B505" s="10">
        <v>100</v>
      </c>
      <c r="C505" s="12" t="s">
        <v>970</v>
      </c>
      <c r="D505" s="13" t="s">
        <v>978</v>
      </c>
      <c r="E505" s="13" t="s">
        <v>980</v>
      </c>
      <c r="F505" s="10">
        <v>4</v>
      </c>
      <c r="G505" s="10"/>
      <c r="H505" s="1">
        <v>2574</v>
      </c>
      <c r="I505" s="1">
        <v>2433</v>
      </c>
      <c r="J505" s="1">
        <v>2434.8000000000002</v>
      </c>
      <c r="K505" s="2">
        <v>10.01</v>
      </c>
      <c r="L505">
        <v>2433</v>
      </c>
      <c r="M505">
        <v>2437</v>
      </c>
      <c r="N505">
        <v>2434</v>
      </c>
      <c r="O505">
        <v>2435</v>
      </c>
      <c r="P505">
        <v>2435</v>
      </c>
      <c r="S505">
        <v>2450</v>
      </c>
      <c r="T505">
        <v>2453.4</v>
      </c>
      <c r="U505" s="17">
        <v>38.215006619999997</v>
      </c>
      <c r="V505" s="60">
        <v>2454</v>
      </c>
      <c r="W505" s="60">
        <v>2452</v>
      </c>
      <c r="X505" s="60">
        <v>2452</v>
      </c>
      <c r="Y505" s="60">
        <v>2449</v>
      </c>
      <c r="Z505" s="60">
        <v>2456</v>
      </c>
    </row>
    <row r="506" spans="1:26" x14ac:dyDescent="0.6">
      <c r="A506" s="6" t="s">
        <v>909</v>
      </c>
      <c r="B506" s="10">
        <v>100</v>
      </c>
      <c r="C506" s="12" t="s">
        <v>970</v>
      </c>
      <c r="D506" s="13" t="s">
        <v>978</v>
      </c>
      <c r="E506" s="13" t="s">
        <v>980</v>
      </c>
      <c r="F506" s="10">
        <v>5</v>
      </c>
      <c r="G506" s="10"/>
      <c r="H506" s="1">
        <v>2627</v>
      </c>
      <c r="I506" s="1">
        <v>2413</v>
      </c>
      <c r="J506" s="1">
        <v>2414</v>
      </c>
      <c r="K506" s="2">
        <v>10.01</v>
      </c>
      <c r="L506">
        <v>2414</v>
      </c>
      <c r="M506">
        <v>2414</v>
      </c>
      <c r="N506">
        <v>2414</v>
      </c>
      <c r="O506">
        <v>2415</v>
      </c>
      <c r="P506">
        <v>2413</v>
      </c>
      <c r="S506">
        <v>2422</v>
      </c>
      <c r="T506">
        <v>2431</v>
      </c>
      <c r="U506" s="17">
        <v>38.652110860000001</v>
      </c>
      <c r="V506" s="60">
        <v>2435</v>
      </c>
      <c r="W506" s="60">
        <v>2428</v>
      </c>
      <c r="X506" s="60">
        <v>2431</v>
      </c>
      <c r="Y506" s="60">
        <v>2436</v>
      </c>
      <c r="Z506" s="60">
        <v>2433</v>
      </c>
    </row>
    <row r="507" spans="1:26" x14ac:dyDescent="0.6">
      <c r="A507" s="6" t="s">
        <v>910</v>
      </c>
      <c r="B507" s="10">
        <v>100</v>
      </c>
      <c r="C507" s="12" t="s">
        <v>970</v>
      </c>
      <c r="D507" s="13" t="s">
        <v>978</v>
      </c>
      <c r="E507" s="13" t="s">
        <v>980</v>
      </c>
      <c r="F507" s="10">
        <v>6</v>
      </c>
      <c r="G507" s="10"/>
      <c r="H507" s="1">
        <v>2644</v>
      </c>
      <c r="I507" s="1">
        <v>2440</v>
      </c>
      <c r="J507" s="1">
        <v>2440.8000000000002</v>
      </c>
      <c r="K507" s="2">
        <v>10.01</v>
      </c>
      <c r="L507">
        <v>2440</v>
      </c>
      <c r="M507">
        <v>2442</v>
      </c>
      <c r="N507">
        <v>2441</v>
      </c>
      <c r="O507">
        <v>2440</v>
      </c>
      <c r="P507">
        <v>2441</v>
      </c>
      <c r="S507">
        <v>2454</v>
      </c>
      <c r="T507">
        <v>2458</v>
      </c>
      <c r="U507" s="17">
        <v>39.27934612</v>
      </c>
      <c r="V507" s="60">
        <v>2456</v>
      </c>
      <c r="W507" s="60">
        <v>2456</v>
      </c>
      <c r="X507" s="60">
        <v>2459</v>
      </c>
      <c r="Y507" s="60">
        <v>2469</v>
      </c>
      <c r="Z507" s="60">
        <v>2454</v>
      </c>
    </row>
    <row r="508" spans="1:26" x14ac:dyDescent="0.6">
      <c r="A508" s="6" t="s">
        <v>911</v>
      </c>
      <c r="B508" s="10">
        <v>100</v>
      </c>
      <c r="C508" s="12" t="s">
        <v>970</v>
      </c>
      <c r="D508" s="13" t="s">
        <v>978</v>
      </c>
      <c r="E508" s="13" t="s">
        <v>980</v>
      </c>
      <c r="F508" s="10">
        <v>7</v>
      </c>
      <c r="G508" s="10"/>
      <c r="H508" s="1">
        <v>2603</v>
      </c>
      <c r="I508" s="1">
        <v>2428</v>
      </c>
      <c r="J508" s="1">
        <v>2430.4</v>
      </c>
      <c r="K508" s="2">
        <v>10.01</v>
      </c>
      <c r="L508">
        <v>2431</v>
      </c>
      <c r="M508">
        <v>2431</v>
      </c>
      <c r="N508">
        <v>2430</v>
      </c>
      <c r="O508">
        <v>2428</v>
      </c>
      <c r="P508">
        <v>2432</v>
      </c>
      <c r="S508">
        <v>2447</v>
      </c>
      <c r="T508">
        <v>2448.8000000000002</v>
      </c>
      <c r="U508" s="17">
        <v>38.52647194</v>
      </c>
      <c r="V508" s="60">
        <v>2452</v>
      </c>
      <c r="W508" s="60">
        <v>2446</v>
      </c>
      <c r="X508" s="60">
        <v>2447</v>
      </c>
      <c r="Y508" s="60">
        <v>2448</v>
      </c>
      <c r="Z508" s="60">
        <v>2446</v>
      </c>
    </row>
    <row r="509" spans="1:26" x14ac:dyDescent="0.6">
      <c r="A509" s="6" t="s">
        <v>912</v>
      </c>
      <c r="B509" s="10">
        <v>100</v>
      </c>
      <c r="C509" s="12" t="s">
        <v>970</v>
      </c>
      <c r="D509" s="13" t="s">
        <v>978</v>
      </c>
      <c r="E509" s="13" t="s">
        <v>980</v>
      </c>
      <c r="F509" s="10">
        <v>8</v>
      </c>
      <c r="G509" s="10"/>
      <c r="H509" s="1">
        <v>2672</v>
      </c>
      <c r="I509" s="1">
        <v>2430</v>
      </c>
      <c r="J509" s="1">
        <v>2431.4</v>
      </c>
      <c r="K509" s="2">
        <v>10.01</v>
      </c>
      <c r="L509">
        <v>2431</v>
      </c>
      <c r="M509">
        <v>2430</v>
      </c>
      <c r="N509">
        <v>2433</v>
      </c>
      <c r="O509">
        <v>2431</v>
      </c>
      <c r="P509">
        <v>2432</v>
      </c>
      <c r="S509">
        <v>2444</v>
      </c>
      <c r="T509">
        <v>2450</v>
      </c>
      <c r="U509" s="17">
        <v>38.302199280000004</v>
      </c>
      <c r="V509" s="60">
        <v>2452</v>
      </c>
      <c r="W509" s="60">
        <v>2454</v>
      </c>
      <c r="X509" s="60">
        <v>2448</v>
      </c>
      <c r="Y509" s="60">
        <v>2450</v>
      </c>
      <c r="Z509" s="60">
        <v>2453</v>
      </c>
    </row>
    <row r="510" spans="1:26" x14ac:dyDescent="0.6">
      <c r="A510" s="6" t="s">
        <v>913</v>
      </c>
      <c r="B510" s="10">
        <v>100</v>
      </c>
      <c r="C510" s="12" t="s">
        <v>970</v>
      </c>
      <c r="D510" s="13" t="s">
        <v>978</v>
      </c>
      <c r="E510" s="13" t="s">
        <v>980</v>
      </c>
      <c r="F510" s="10">
        <v>9</v>
      </c>
      <c r="G510" s="10"/>
      <c r="H510" s="1">
        <v>2656</v>
      </c>
      <c r="I510" s="1">
        <v>2448</v>
      </c>
      <c r="J510" s="1">
        <v>2448.6</v>
      </c>
      <c r="K510" s="2">
        <v>10.01</v>
      </c>
      <c r="L510">
        <v>2448</v>
      </c>
      <c r="M510">
        <v>2450</v>
      </c>
      <c r="N510">
        <v>2448</v>
      </c>
      <c r="O510">
        <v>2448</v>
      </c>
      <c r="P510">
        <v>2449</v>
      </c>
      <c r="S510">
        <v>2461</v>
      </c>
      <c r="T510">
        <v>2467</v>
      </c>
      <c r="U510" s="17">
        <v>39.034348600000001</v>
      </c>
      <c r="V510" s="60">
        <v>2472</v>
      </c>
      <c r="W510" s="60">
        <v>2471</v>
      </c>
      <c r="X510" s="60">
        <v>2466</v>
      </c>
      <c r="Y510" s="60">
        <v>2472</v>
      </c>
      <c r="Z510" s="60">
        <v>2463</v>
      </c>
    </row>
    <row r="511" spans="1:26" x14ac:dyDescent="0.6">
      <c r="A511" s="6" t="s">
        <v>914</v>
      </c>
      <c r="B511" s="10">
        <v>100</v>
      </c>
      <c r="C511" s="12" t="s">
        <v>970</v>
      </c>
      <c r="D511" s="13" t="s">
        <v>978</v>
      </c>
      <c r="E511" s="13" t="s">
        <v>980</v>
      </c>
      <c r="F511" s="10">
        <v>10</v>
      </c>
      <c r="G511" s="10"/>
      <c r="H511" s="1">
        <v>2716</v>
      </c>
      <c r="I511" s="1">
        <v>2402</v>
      </c>
      <c r="J511" s="1">
        <v>2403</v>
      </c>
      <c r="K511" s="2">
        <v>10.01</v>
      </c>
      <c r="L511">
        <v>2404</v>
      </c>
      <c r="M511">
        <v>2402</v>
      </c>
      <c r="N511">
        <v>2405</v>
      </c>
      <c r="O511">
        <v>2402</v>
      </c>
      <c r="P511">
        <v>2402</v>
      </c>
      <c r="S511">
        <v>2418</v>
      </c>
      <c r="T511">
        <v>2419.8000000000002</v>
      </c>
      <c r="U511" s="17">
        <v>38.36278678</v>
      </c>
      <c r="V511" s="60">
        <v>2421</v>
      </c>
      <c r="W511" s="60">
        <v>2420</v>
      </c>
      <c r="X511" s="60">
        <v>2418</v>
      </c>
      <c r="Y511" s="60">
        <v>2425</v>
      </c>
      <c r="Z511" s="60">
        <v>2419</v>
      </c>
    </row>
    <row r="512" spans="1:26" x14ac:dyDescent="0.6">
      <c r="A512" s="6" t="s">
        <v>915</v>
      </c>
      <c r="B512" s="10">
        <v>100</v>
      </c>
      <c r="C512" s="12" t="s">
        <v>970</v>
      </c>
      <c r="D512" s="13" t="s">
        <v>978</v>
      </c>
      <c r="E512" s="13" t="s">
        <v>984</v>
      </c>
      <c r="F512" s="10">
        <v>1</v>
      </c>
      <c r="G512" s="10"/>
      <c r="H512" s="1">
        <v>2836</v>
      </c>
      <c r="I512" s="1">
        <v>2427</v>
      </c>
      <c r="J512" s="1">
        <v>2427.8000000000002</v>
      </c>
      <c r="K512" s="2">
        <v>10</v>
      </c>
      <c r="L512">
        <v>2428</v>
      </c>
      <c r="M512">
        <v>2427</v>
      </c>
      <c r="N512">
        <v>2428</v>
      </c>
      <c r="O512">
        <v>2428</v>
      </c>
      <c r="P512">
        <v>2428</v>
      </c>
      <c r="S512">
        <v>2441</v>
      </c>
      <c r="T512">
        <v>2447.8000000000002</v>
      </c>
      <c r="U512" s="17">
        <v>38.12457474</v>
      </c>
      <c r="V512" s="60">
        <v>2453</v>
      </c>
      <c r="W512" s="60">
        <v>2447</v>
      </c>
      <c r="X512" s="60">
        <v>2443</v>
      </c>
      <c r="Y512" s="60">
        <v>2438</v>
      </c>
      <c r="Z512" s="60">
        <v>2446</v>
      </c>
    </row>
    <row r="513" spans="1:26" x14ac:dyDescent="0.6">
      <c r="A513" s="6" t="s">
        <v>916</v>
      </c>
      <c r="B513" s="10">
        <v>100</v>
      </c>
      <c r="C513" s="12" t="s">
        <v>970</v>
      </c>
      <c r="D513" s="13" t="s">
        <v>978</v>
      </c>
      <c r="E513" s="13" t="s">
        <v>985</v>
      </c>
      <c r="F513" s="10">
        <v>2</v>
      </c>
      <c r="G513" s="10"/>
      <c r="H513" s="1">
        <v>2896</v>
      </c>
      <c r="I513" s="1">
        <v>2425</v>
      </c>
      <c r="J513" s="1">
        <v>2426.1999999999998</v>
      </c>
      <c r="K513" s="2">
        <v>10.01</v>
      </c>
      <c r="L513">
        <v>2426</v>
      </c>
      <c r="M513">
        <v>2427</v>
      </c>
      <c r="N513">
        <v>2425</v>
      </c>
      <c r="O513">
        <v>2427</v>
      </c>
      <c r="P513">
        <v>2426</v>
      </c>
      <c r="S513">
        <v>2438</v>
      </c>
      <c r="T513">
        <v>2443.1999999999998</v>
      </c>
      <c r="U513" s="17">
        <v>38.513349159999997</v>
      </c>
      <c r="V513" s="60">
        <v>2445</v>
      </c>
      <c r="W513" s="60">
        <v>2439</v>
      </c>
      <c r="X513" s="60">
        <v>2449</v>
      </c>
      <c r="Y513" s="60">
        <v>2441</v>
      </c>
      <c r="Z513" s="60">
        <v>2444</v>
      </c>
    </row>
    <row r="514" spans="1:26" x14ac:dyDescent="0.6">
      <c r="A514" s="6" t="s">
        <v>917</v>
      </c>
      <c r="B514" s="10">
        <v>100</v>
      </c>
      <c r="C514" s="12" t="s">
        <v>970</v>
      </c>
      <c r="D514" s="13" t="s">
        <v>978</v>
      </c>
      <c r="E514" s="13" t="s">
        <v>982</v>
      </c>
      <c r="F514" s="10">
        <v>3</v>
      </c>
      <c r="G514" s="10"/>
      <c r="H514" s="1">
        <v>2899</v>
      </c>
      <c r="I514" s="1">
        <v>2450</v>
      </c>
      <c r="J514" s="1">
        <v>2450.8000000000002</v>
      </c>
      <c r="K514" s="2">
        <v>10</v>
      </c>
      <c r="L514">
        <v>2450</v>
      </c>
      <c r="M514">
        <v>2450</v>
      </c>
      <c r="N514">
        <v>2453</v>
      </c>
      <c r="O514">
        <v>2450</v>
      </c>
      <c r="P514">
        <v>2451</v>
      </c>
      <c r="S514">
        <v>2462</v>
      </c>
      <c r="T514">
        <v>2467.1999999999998</v>
      </c>
      <c r="U514" s="17">
        <v>39.418059319999998</v>
      </c>
      <c r="V514" s="60">
        <v>2471</v>
      </c>
      <c r="W514" s="60">
        <v>2463</v>
      </c>
      <c r="X514" s="60">
        <v>2469</v>
      </c>
      <c r="Y514" s="60">
        <v>2462</v>
      </c>
      <c r="Z514" s="60">
        <v>2475</v>
      </c>
    </row>
    <row r="515" spans="1:26" x14ac:dyDescent="0.6">
      <c r="A515" s="6" t="s">
        <v>918</v>
      </c>
      <c r="B515" s="10">
        <v>100</v>
      </c>
      <c r="C515" s="12" t="s">
        <v>970</v>
      </c>
      <c r="D515" s="13" t="s">
        <v>978</v>
      </c>
      <c r="E515" s="13" t="s">
        <v>982</v>
      </c>
      <c r="F515" s="10">
        <v>4</v>
      </c>
      <c r="G515" s="10"/>
      <c r="H515" s="1">
        <v>2683</v>
      </c>
      <c r="I515" s="1">
        <v>2435</v>
      </c>
      <c r="J515" s="1">
        <v>2435.6</v>
      </c>
      <c r="K515" s="2">
        <v>10.01</v>
      </c>
      <c r="L515">
        <v>2435</v>
      </c>
      <c r="M515">
        <v>2436</v>
      </c>
      <c r="N515">
        <v>2436</v>
      </c>
      <c r="O515">
        <v>2436</v>
      </c>
      <c r="P515">
        <v>2435</v>
      </c>
      <c r="S515">
        <v>2445</v>
      </c>
      <c r="T515">
        <v>2451</v>
      </c>
      <c r="U515" s="17">
        <v>38.790741959999998</v>
      </c>
      <c r="V515" s="60">
        <v>2449</v>
      </c>
      <c r="W515" s="60">
        <v>2462</v>
      </c>
      <c r="X515" s="60">
        <v>2453</v>
      </c>
      <c r="Y515" s="60">
        <v>2454</v>
      </c>
      <c r="Z515" s="60">
        <v>2453</v>
      </c>
    </row>
    <row r="516" spans="1:26" x14ac:dyDescent="0.6">
      <c r="A516" s="6" t="s">
        <v>919</v>
      </c>
      <c r="B516" s="10">
        <v>100</v>
      </c>
      <c r="C516" s="12" t="s">
        <v>970</v>
      </c>
      <c r="D516" s="13" t="s">
        <v>978</v>
      </c>
      <c r="E516" s="13" t="s">
        <v>982</v>
      </c>
      <c r="F516" s="10">
        <v>5</v>
      </c>
      <c r="G516" s="10"/>
      <c r="H516" s="1">
        <v>2850</v>
      </c>
      <c r="I516" s="1">
        <v>2414</v>
      </c>
      <c r="J516" s="1">
        <v>2414.8000000000002</v>
      </c>
      <c r="K516" s="2">
        <v>10.01</v>
      </c>
      <c r="L516">
        <v>2416</v>
      </c>
      <c r="M516">
        <v>2415</v>
      </c>
      <c r="N516">
        <v>2414</v>
      </c>
      <c r="O516">
        <v>2415</v>
      </c>
      <c r="P516">
        <v>2414</v>
      </c>
      <c r="S516">
        <v>2425</v>
      </c>
      <c r="T516">
        <v>2431.8000000000002</v>
      </c>
      <c r="U516" s="17">
        <v>39.60562728</v>
      </c>
      <c r="V516" s="60">
        <v>2429</v>
      </c>
      <c r="W516" s="60">
        <v>2442</v>
      </c>
      <c r="X516" s="60">
        <v>2424</v>
      </c>
      <c r="Y516" s="60">
        <v>2426</v>
      </c>
      <c r="Z516" s="60">
        <v>2435</v>
      </c>
    </row>
    <row r="517" spans="1:26" x14ac:dyDescent="0.6">
      <c r="A517" s="6" t="s">
        <v>920</v>
      </c>
      <c r="B517" s="10">
        <v>100</v>
      </c>
      <c r="C517" s="12" t="s">
        <v>970</v>
      </c>
      <c r="D517" s="13" t="s">
        <v>978</v>
      </c>
      <c r="E517" s="13" t="s">
        <v>982</v>
      </c>
      <c r="F517" s="10">
        <v>6</v>
      </c>
      <c r="G517" s="10"/>
      <c r="H517" s="1">
        <v>2857</v>
      </c>
      <c r="I517" s="1">
        <v>2440</v>
      </c>
      <c r="J517" s="1">
        <v>2441</v>
      </c>
      <c r="K517" s="2">
        <v>10.01</v>
      </c>
      <c r="L517">
        <v>2440</v>
      </c>
      <c r="M517">
        <v>2440</v>
      </c>
      <c r="N517">
        <v>2442</v>
      </c>
      <c r="O517">
        <v>2442</v>
      </c>
      <c r="P517">
        <v>2441</v>
      </c>
      <c r="S517">
        <v>2456</v>
      </c>
      <c r="T517">
        <v>2460.6</v>
      </c>
      <c r="U517" s="17">
        <v>39.534684200000001</v>
      </c>
      <c r="V517" s="60">
        <v>2457</v>
      </c>
      <c r="W517" s="60">
        <v>2463</v>
      </c>
      <c r="X517" s="60">
        <v>2448</v>
      </c>
      <c r="Y517" s="60">
        <v>2464</v>
      </c>
      <c r="Z517" s="60">
        <v>2454</v>
      </c>
    </row>
    <row r="518" spans="1:26" x14ac:dyDescent="0.6">
      <c r="A518" s="6" t="s">
        <v>921</v>
      </c>
      <c r="B518" s="10">
        <v>100</v>
      </c>
      <c r="C518" s="12" t="s">
        <v>970</v>
      </c>
      <c r="D518" s="13" t="s">
        <v>978</v>
      </c>
      <c r="E518" s="13" t="s">
        <v>982</v>
      </c>
      <c r="F518" s="10">
        <v>7</v>
      </c>
      <c r="G518" s="10"/>
      <c r="H518" s="1">
        <v>2777</v>
      </c>
      <c r="I518" s="1">
        <v>2430</v>
      </c>
      <c r="J518" s="1">
        <v>2430.1999999999998</v>
      </c>
      <c r="K518" s="2">
        <v>10.01</v>
      </c>
      <c r="L518">
        <v>2431</v>
      </c>
      <c r="M518">
        <v>2430</v>
      </c>
      <c r="N518">
        <v>2430</v>
      </c>
      <c r="O518">
        <v>2430</v>
      </c>
      <c r="P518">
        <v>2430</v>
      </c>
      <c r="S518">
        <v>2440</v>
      </c>
      <c r="T518">
        <v>2448.1999999999998</v>
      </c>
      <c r="U518" s="17">
        <v>39.17021098</v>
      </c>
      <c r="V518" s="60">
        <v>2447</v>
      </c>
      <c r="W518" s="60">
        <v>2450</v>
      </c>
      <c r="X518" s="60">
        <v>2451</v>
      </c>
      <c r="Y518" s="60">
        <v>2450</v>
      </c>
      <c r="Z518" s="60">
        <v>2452</v>
      </c>
    </row>
    <row r="519" spans="1:26" x14ac:dyDescent="0.6">
      <c r="A519" s="6" t="s">
        <v>922</v>
      </c>
      <c r="B519" s="10">
        <v>100</v>
      </c>
      <c r="C519" s="12" t="s">
        <v>970</v>
      </c>
      <c r="D519" s="13" t="s">
        <v>978</v>
      </c>
      <c r="E519" s="13" t="s">
        <v>982</v>
      </c>
      <c r="F519" s="10">
        <v>8</v>
      </c>
      <c r="G519" s="10"/>
      <c r="H519" s="1">
        <v>2916</v>
      </c>
      <c r="I519" s="1">
        <v>2429</v>
      </c>
      <c r="J519" s="1">
        <v>2430.6</v>
      </c>
      <c r="K519" s="2">
        <v>10.01</v>
      </c>
      <c r="L519">
        <v>2433</v>
      </c>
      <c r="M519">
        <v>2430</v>
      </c>
      <c r="N519">
        <v>2430</v>
      </c>
      <c r="O519">
        <v>2429</v>
      </c>
      <c r="P519">
        <v>2431</v>
      </c>
      <c r="S519">
        <v>2453</v>
      </c>
      <c r="T519">
        <v>2454.1999999999998</v>
      </c>
      <c r="U519" s="17">
        <v>38.233596140000003</v>
      </c>
      <c r="V519" s="60">
        <v>2447</v>
      </c>
      <c r="W519" s="60">
        <v>2450</v>
      </c>
      <c r="X519" s="60">
        <v>2451</v>
      </c>
      <c r="Y519" s="60">
        <v>2452</v>
      </c>
      <c r="Z519" s="60">
        <v>2449</v>
      </c>
    </row>
    <row r="520" spans="1:26" x14ac:dyDescent="0.6">
      <c r="A520" s="6" t="s">
        <v>923</v>
      </c>
      <c r="B520" s="10">
        <v>100</v>
      </c>
      <c r="C520" s="12" t="s">
        <v>970</v>
      </c>
      <c r="D520" s="13" t="s">
        <v>978</v>
      </c>
      <c r="E520" s="13" t="s">
        <v>982</v>
      </c>
      <c r="F520" s="10">
        <v>9</v>
      </c>
      <c r="G520" s="10"/>
      <c r="H520" s="1">
        <v>2833</v>
      </c>
      <c r="I520" s="1">
        <v>2448</v>
      </c>
      <c r="J520" s="1">
        <v>2449</v>
      </c>
      <c r="K520" s="2">
        <v>10</v>
      </c>
      <c r="L520">
        <v>2448</v>
      </c>
      <c r="M520">
        <v>2449</v>
      </c>
      <c r="N520">
        <v>2449</v>
      </c>
      <c r="O520">
        <v>2449</v>
      </c>
      <c r="P520">
        <v>2450</v>
      </c>
      <c r="S520">
        <v>2463</v>
      </c>
      <c r="T520">
        <v>2468</v>
      </c>
      <c r="U520" s="17">
        <v>39.44869388</v>
      </c>
      <c r="V520" s="60">
        <v>2464</v>
      </c>
      <c r="W520" s="60">
        <v>2471</v>
      </c>
      <c r="X520" s="60">
        <v>2465</v>
      </c>
      <c r="Y520" s="60">
        <v>2465</v>
      </c>
      <c r="Z520" s="60">
        <v>2469</v>
      </c>
    </row>
    <row r="521" spans="1:26" x14ac:dyDescent="0.6">
      <c r="A521" s="6" t="s">
        <v>924</v>
      </c>
      <c r="B521" s="10">
        <v>100</v>
      </c>
      <c r="C521" s="12" t="s">
        <v>970</v>
      </c>
      <c r="D521" s="13" t="s">
        <v>978</v>
      </c>
      <c r="E521" s="13" t="s">
        <v>982</v>
      </c>
      <c r="F521" s="10">
        <v>10</v>
      </c>
      <c r="G521" s="10"/>
      <c r="H521" s="1">
        <v>3025</v>
      </c>
      <c r="I521" s="1">
        <v>2401</v>
      </c>
      <c r="J521" s="1">
        <v>2402.4</v>
      </c>
      <c r="K521" s="2">
        <v>10.01</v>
      </c>
      <c r="L521">
        <v>2402</v>
      </c>
      <c r="M521">
        <v>2401</v>
      </c>
      <c r="N521">
        <v>2402</v>
      </c>
      <c r="O521">
        <v>2403</v>
      </c>
      <c r="P521">
        <v>2404</v>
      </c>
      <c r="S521">
        <v>2413</v>
      </c>
      <c r="T521">
        <v>2419</v>
      </c>
      <c r="U521" s="17">
        <v>38.505191799999999</v>
      </c>
      <c r="V521" s="60">
        <v>2416</v>
      </c>
      <c r="W521" s="60">
        <v>2420</v>
      </c>
      <c r="X521" s="60">
        <v>2418</v>
      </c>
      <c r="Y521" s="60">
        <v>2425</v>
      </c>
      <c r="Z521" s="60">
        <v>2423</v>
      </c>
    </row>
    <row r="522" spans="1:26" x14ac:dyDescent="0.6">
      <c r="A522" s="6" t="s">
        <v>925</v>
      </c>
      <c r="B522" s="10">
        <v>100</v>
      </c>
      <c r="C522" s="13" t="s">
        <v>974</v>
      </c>
      <c r="D522" s="13" t="s">
        <v>977</v>
      </c>
      <c r="E522" s="13" t="s">
        <v>981</v>
      </c>
      <c r="F522" s="10">
        <v>1</v>
      </c>
      <c r="G522" s="10"/>
      <c r="H522" s="1">
        <v>3174</v>
      </c>
      <c r="I522" s="1">
        <v>2930</v>
      </c>
      <c r="J522" s="1">
        <v>2931.6</v>
      </c>
      <c r="K522" s="2">
        <v>10.01</v>
      </c>
      <c r="L522">
        <v>2933</v>
      </c>
      <c r="M522">
        <v>2932</v>
      </c>
      <c r="N522">
        <v>2931</v>
      </c>
      <c r="O522">
        <v>2932</v>
      </c>
      <c r="P522">
        <v>2930</v>
      </c>
      <c r="S522">
        <v>2947</v>
      </c>
      <c r="T522">
        <v>2951.4</v>
      </c>
      <c r="U522" s="17">
        <v>37.791331219999996</v>
      </c>
      <c r="V522" s="60">
        <v>2957</v>
      </c>
      <c r="W522" s="60">
        <v>2945</v>
      </c>
      <c r="X522" s="60">
        <v>2951</v>
      </c>
      <c r="Y522" s="60">
        <v>2950</v>
      </c>
      <c r="Z522" s="60">
        <v>2946</v>
      </c>
    </row>
    <row r="523" spans="1:26" x14ac:dyDescent="0.6">
      <c r="A523" s="6" t="s">
        <v>926</v>
      </c>
      <c r="B523" s="10">
        <v>100</v>
      </c>
      <c r="C523" s="13" t="s">
        <v>975</v>
      </c>
      <c r="D523" s="13" t="s">
        <v>977</v>
      </c>
      <c r="E523" s="13" t="s">
        <v>983</v>
      </c>
      <c r="F523" s="10">
        <v>2</v>
      </c>
      <c r="G523" s="10"/>
      <c r="H523" s="1">
        <v>3202</v>
      </c>
      <c r="I523" s="1">
        <v>2929</v>
      </c>
      <c r="J523" s="1">
        <v>2929.8</v>
      </c>
      <c r="K523" s="2">
        <v>10.01</v>
      </c>
      <c r="L523">
        <v>2930</v>
      </c>
      <c r="M523">
        <v>2929</v>
      </c>
      <c r="N523">
        <v>2930</v>
      </c>
      <c r="O523">
        <v>2930</v>
      </c>
      <c r="P523">
        <v>2930</v>
      </c>
      <c r="S523">
        <v>2945</v>
      </c>
      <c r="T523">
        <v>2947.6</v>
      </c>
      <c r="U523" s="17">
        <v>38.144779139999997</v>
      </c>
      <c r="V523" s="60">
        <v>2946</v>
      </c>
      <c r="W523" s="60">
        <v>2943</v>
      </c>
      <c r="X523" s="60">
        <v>2944</v>
      </c>
      <c r="Y523" s="60">
        <v>2946</v>
      </c>
      <c r="Z523" s="60">
        <v>2947</v>
      </c>
    </row>
    <row r="524" spans="1:26" x14ac:dyDescent="0.6">
      <c r="A524" s="6" t="s">
        <v>927</v>
      </c>
      <c r="B524" s="10">
        <v>100</v>
      </c>
      <c r="C524" s="13" t="s">
        <v>973</v>
      </c>
      <c r="D524" s="13" t="s">
        <v>976</v>
      </c>
      <c r="E524" s="13" t="s">
        <v>980</v>
      </c>
      <c r="F524" s="10">
        <v>3</v>
      </c>
      <c r="G524" s="10"/>
      <c r="H524" s="1">
        <v>3240</v>
      </c>
      <c r="I524" s="1">
        <v>2953</v>
      </c>
      <c r="J524" s="1">
        <v>2954.8</v>
      </c>
      <c r="K524" s="2">
        <v>10</v>
      </c>
      <c r="L524">
        <v>2955</v>
      </c>
      <c r="M524">
        <v>2953</v>
      </c>
      <c r="N524">
        <v>2957</v>
      </c>
      <c r="O524">
        <v>2954</v>
      </c>
      <c r="P524">
        <v>2955</v>
      </c>
      <c r="S524">
        <v>2967</v>
      </c>
      <c r="T524">
        <v>2975.4</v>
      </c>
      <c r="U524" s="17">
        <v>38.999717740000001</v>
      </c>
      <c r="V524" s="60">
        <v>2972</v>
      </c>
      <c r="W524" s="60">
        <v>2971</v>
      </c>
      <c r="X524" s="60">
        <v>2971</v>
      </c>
      <c r="Y524" s="60">
        <v>2971</v>
      </c>
      <c r="Z524" s="60">
        <v>2969</v>
      </c>
    </row>
    <row r="525" spans="1:26" x14ac:dyDescent="0.6">
      <c r="A525" s="6" t="s">
        <v>928</v>
      </c>
      <c r="B525" s="10">
        <v>100</v>
      </c>
      <c r="C525" s="13" t="s">
        <v>973</v>
      </c>
      <c r="D525" s="13" t="s">
        <v>976</v>
      </c>
      <c r="E525" s="13" t="s">
        <v>980</v>
      </c>
      <c r="F525" s="10">
        <v>4</v>
      </c>
      <c r="G525" s="10"/>
      <c r="H525" s="1">
        <v>3099</v>
      </c>
      <c r="I525" s="1">
        <v>2938</v>
      </c>
      <c r="J525" s="1">
        <v>2939.8</v>
      </c>
      <c r="K525" s="2">
        <v>10.01</v>
      </c>
      <c r="L525">
        <v>2938</v>
      </c>
      <c r="M525">
        <v>2942</v>
      </c>
      <c r="N525">
        <v>2939</v>
      </c>
      <c r="O525">
        <v>2940</v>
      </c>
      <c r="P525">
        <v>2940</v>
      </c>
      <c r="S525">
        <v>2954</v>
      </c>
      <c r="T525">
        <v>2959.2</v>
      </c>
      <c r="U525" s="17">
        <v>37.788042259999997</v>
      </c>
      <c r="V525" s="60">
        <v>2954</v>
      </c>
      <c r="W525" s="60">
        <v>2968</v>
      </c>
      <c r="X525" s="60">
        <v>2957</v>
      </c>
      <c r="Y525" s="60">
        <v>2961</v>
      </c>
      <c r="Z525" s="60">
        <v>2957</v>
      </c>
    </row>
    <row r="526" spans="1:26" x14ac:dyDescent="0.6">
      <c r="A526" s="6" t="s">
        <v>929</v>
      </c>
      <c r="B526" s="10">
        <v>100</v>
      </c>
      <c r="C526" s="13" t="s">
        <v>973</v>
      </c>
      <c r="D526" s="13" t="s">
        <v>976</v>
      </c>
      <c r="E526" s="13" t="s">
        <v>980</v>
      </c>
      <c r="F526" s="10">
        <v>5</v>
      </c>
      <c r="G526" s="10"/>
      <c r="H526" s="1">
        <v>3177</v>
      </c>
      <c r="I526" s="1">
        <v>2918</v>
      </c>
      <c r="J526" s="1">
        <v>2919</v>
      </c>
      <c r="K526" s="2">
        <v>10.01</v>
      </c>
      <c r="L526">
        <v>2919</v>
      </c>
      <c r="M526">
        <v>2919</v>
      </c>
      <c r="N526">
        <v>2919</v>
      </c>
      <c r="O526">
        <v>2920</v>
      </c>
      <c r="P526">
        <v>2918</v>
      </c>
      <c r="S526">
        <v>2931</v>
      </c>
      <c r="T526">
        <v>2936</v>
      </c>
      <c r="U526" s="17">
        <v>38.507136299999999</v>
      </c>
      <c r="V526" s="60">
        <v>2933</v>
      </c>
      <c r="W526" s="60">
        <v>2937</v>
      </c>
      <c r="X526" s="60">
        <v>2937</v>
      </c>
      <c r="Y526" s="60">
        <v>2949</v>
      </c>
      <c r="Z526" s="60">
        <v>2944</v>
      </c>
    </row>
    <row r="527" spans="1:26" x14ac:dyDescent="0.6">
      <c r="A527" s="6" t="s">
        <v>930</v>
      </c>
      <c r="B527" s="10">
        <v>100</v>
      </c>
      <c r="C527" s="13" t="s">
        <v>973</v>
      </c>
      <c r="D527" s="13" t="s">
        <v>976</v>
      </c>
      <c r="E527" s="13" t="s">
        <v>980</v>
      </c>
      <c r="F527" s="10">
        <v>6</v>
      </c>
      <c r="G527" s="10"/>
      <c r="H527" s="1">
        <v>3194</v>
      </c>
      <c r="I527" s="1">
        <v>2945</v>
      </c>
      <c r="J527" s="1">
        <v>2945.8</v>
      </c>
      <c r="K527" s="2">
        <v>10.01</v>
      </c>
      <c r="L527">
        <v>2945</v>
      </c>
      <c r="M527">
        <v>2946</v>
      </c>
      <c r="N527">
        <v>2947</v>
      </c>
      <c r="O527">
        <v>2945</v>
      </c>
      <c r="P527">
        <v>2946</v>
      </c>
      <c r="S527">
        <v>2960</v>
      </c>
      <c r="T527">
        <v>2965</v>
      </c>
      <c r="U527" s="17">
        <v>38.022976440000001</v>
      </c>
      <c r="V527" s="60">
        <v>2962</v>
      </c>
      <c r="W527" s="60">
        <v>2964</v>
      </c>
      <c r="X527" s="60">
        <v>2968</v>
      </c>
      <c r="Y527" s="60">
        <v>2963</v>
      </c>
      <c r="Z527" s="60">
        <v>2964</v>
      </c>
    </row>
    <row r="528" spans="1:26" x14ac:dyDescent="0.6">
      <c r="A528" s="6" t="s">
        <v>931</v>
      </c>
      <c r="B528" s="10">
        <v>100</v>
      </c>
      <c r="C528" s="13" t="s">
        <v>973</v>
      </c>
      <c r="D528" s="13" t="s">
        <v>976</v>
      </c>
      <c r="E528" s="13" t="s">
        <v>980</v>
      </c>
      <c r="F528" s="10">
        <v>7</v>
      </c>
      <c r="G528" s="10"/>
      <c r="H528" s="1">
        <v>3143</v>
      </c>
      <c r="I528" s="1">
        <v>2933</v>
      </c>
      <c r="J528" s="1">
        <v>2935.4</v>
      </c>
      <c r="K528" s="2">
        <v>10.01</v>
      </c>
      <c r="L528">
        <v>2936</v>
      </c>
      <c r="M528">
        <v>2936</v>
      </c>
      <c r="N528">
        <v>2935</v>
      </c>
      <c r="O528">
        <v>2933</v>
      </c>
      <c r="P528">
        <v>2937</v>
      </c>
      <c r="S528">
        <v>2953</v>
      </c>
      <c r="T528">
        <v>2955.8</v>
      </c>
      <c r="U528" s="17">
        <v>37.973121259999999</v>
      </c>
      <c r="V528" s="60">
        <v>2948</v>
      </c>
      <c r="W528" s="60">
        <v>2956</v>
      </c>
      <c r="X528" s="60">
        <v>2959</v>
      </c>
      <c r="Y528" s="60">
        <v>2962</v>
      </c>
      <c r="Z528" s="60">
        <v>2942</v>
      </c>
    </row>
    <row r="529" spans="1:26" x14ac:dyDescent="0.6">
      <c r="A529" s="6" t="s">
        <v>932</v>
      </c>
      <c r="B529" s="10">
        <v>100</v>
      </c>
      <c r="C529" s="13" t="s">
        <v>973</v>
      </c>
      <c r="D529" s="13" t="s">
        <v>976</v>
      </c>
      <c r="E529" s="13" t="s">
        <v>980</v>
      </c>
      <c r="F529" s="10">
        <v>8</v>
      </c>
      <c r="G529" s="10"/>
      <c r="H529" s="1">
        <v>3232</v>
      </c>
      <c r="I529" s="1">
        <v>2935</v>
      </c>
      <c r="J529" s="1">
        <v>2936</v>
      </c>
      <c r="K529" s="2">
        <v>10.01</v>
      </c>
      <c r="L529">
        <v>2936</v>
      </c>
      <c r="M529">
        <v>2935</v>
      </c>
      <c r="N529">
        <v>2938</v>
      </c>
      <c r="O529">
        <v>2936</v>
      </c>
      <c r="P529">
        <v>2935</v>
      </c>
      <c r="S529">
        <v>2950</v>
      </c>
      <c r="T529">
        <v>2955</v>
      </c>
      <c r="U529" s="17">
        <v>38.530270299999998</v>
      </c>
      <c r="V529" s="60">
        <v>2955</v>
      </c>
      <c r="W529" s="60">
        <v>2951</v>
      </c>
      <c r="X529" s="60">
        <v>2958</v>
      </c>
      <c r="Y529" s="60">
        <v>2961</v>
      </c>
      <c r="Z529" s="60">
        <v>2953</v>
      </c>
    </row>
    <row r="530" spans="1:26" x14ac:dyDescent="0.6">
      <c r="A530" s="6" t="s">
        <v>933</v>
      </c>
      <c r="B530" s="10">
        <v>100</v>
      </c>
      <c r="C530" s="13" t="s">
        <v>973</v>
      </c>
      <c r="D530" s="13" t="s">
        <v>976</v>
      </c>
      <c r="E530" s="13" t="s">
        <v>980</v>
      </c>
      <c r="F530" s="10">
        <v>9</v>
      </c>
      <c r="G530" s="10"/>
      <c r="H530" s="1">
        <v>3201</v>
      </c>
      <c r="I530" s="1">
        <v>2953</v>
      </c>
      <c r="J530" s="1">
        <v>2953.6</v>
      </c>
      <c r="K530" s="2">
        <v>10.01</v>
      </c>
      <c r="L530">
        <v>2953</v>
      </c>
      <c r="M530">
        <v>2955</v>
      </c>
      <c r="N530">
        <v>2953</v>
      </c>
      <c r="O530">
        <v>2953</v>
      </c>
      <c r="P530">
        <v>2954</v>
      </c>
      <c r="S530">
        <v>2969</v>
      </c>
      <c r="T530">
        <v>2972.2</v>
      </c>
      <c r="U530" s="17">
        <v>38.688402119999999</v>
      </c>
      <c r="V530" s="60">
        <v>2976</v>
      </c>
      <c r="W530" s="60">
        <v>2972</v>
      </c>
      <c r="X530" s="60">
        <v>2965</v>
      </c>
      <c r="Y530" s="60">
        <v>2968</v>
      </c>
      <c r="Z530" s="60">
        <v>2977</v>
      </c>
    </row>
    <row r="531" spans="1:26" x14ac:dyDescent="0.6">
      <c r="A531" s="6" t="s">
        <v>934</v>
      </c>
      <c r="B531" s="10">
        <v>100</v>
      </c>
      <c r="C531" s="13" t="s">
        <v>973</v>
      </c>
      <c r="D531" s="13" t="s">
        <v>976</v>
      </c>
      <c r="E531" s="13" t="s">
        <v>980</v>
      </c>
      <c r="F531" s="10">
        <v>10</v>
      </c>
      <c r="G531" s="10"/>
      <c r="H531" s="1">
        <v>3296</v>
      </c>
      <c r="I531" s="1">
        <v>2907</v>
      </c>
      <c r="J531" s="1">
        <v>2907</v>
      </c>
      <c r="K531" s="2">
        <v>10.01</v>
      </c>
      <c r="L531">
        <v>2907</v>
      </c>
      <c r="M531">
        <v>2907</v>
      </c>
      <c r="N531">
        <v>2907</v>
      </c>
      <c r="O531">
        <v>2907</v>
      </c>
      <c r="P531">
        <v>2907</v>
      </c>
      <c r="S531">
        <v>2924</v>
      </c>
      <c r="T531">
        <v>2926.6</v>
      </c>
      <c r="U531" s="17">
        <v>37.71996042</v>
      </c>
      <c r="V531" s="60">
        <v>2925</v>
      </c>
      <c r="W531" s="60">
        <v>2929</v>
      </c>
      <c r="X531" s="60">
        <v>2927</v>
      </c>
      <c r="Y531" s="60">
        <v>2920</v>
      </c>
      <c r="Z531" s="60">
        <v>2928</v>
      </c>
    </row>
    <row r="532" spans="1:26" x14ac:dyDescent="0.6">
      <c r="A532" s="6" t="s">
        <v>935</v>
      </c>
      <c r="B532" s="10">
        <v>100</v>
      </c>
      <c r="C532" s="13" t="s">
        <v>973</v>
      </c>
      <c r="D532" s="13" t="s">
        <v>976</v>
      </c>
      <c r="E532" s="13" t="s">
        <v>984</v>
      </c>
      <c r="F532" s="10">
        <v>1</v>
      </c>
      <c r="G532" s="10"/>
      <c r="H532" s="1">
        <v>3386</v>
      </c>
      <c r="I532" s="1">
        <v>2931</v>
      </c>
      <c r="J532" s="1">
        <v>2932.2</v>
      </c>
      <c r="K532" s="2">
        <v>10.01</v>
      </c>
      <c r="L532">
        <v>2932</v>
      </c>
      <c r="M532">
        <v>2933</v>
      </c>
      <c r="N532">
        <v>2932</v>
      </c>
      <c r="O532">
        <v>2933</v>
      </c>
      <c r="P532">
        <v>2931</v>
      </c>
      <c r="S532">
        <v>2949</v>
      </c>
      <c r="T532">
        <v>2951.4</v>
      </c>
      <c r="U532" s="17">
        <v>38.980068000000003</v>
      </c>
      <c r="V532" s="60">
        <v>2950</v>
      </c>
      <c r="W532" s="60">
        <v>2952</v>
      </c>
      <c r="X532" s="60">
        <v>2952</v>
      </c>
      <c r="Y532" s="60">
        <v>2949</v>
      </c>
      <c r="Z532" s="60">
        <v>2958</v>
      </c>
    </row>
    <row r="533" spans="1:26" x14ac:dyDescent="0.6">
      <c r="A533" s="6" t="s">
        <v>936</v>
      </c>
      <c r="B533" s="10">
        <v>100</v>
      </c>
      <c r="C533" s="13" t="s">
        <v>973</v>
      </c>
      <c r="D533" s="13" t="s">
        <v>976</v>
      </c>
      <c r="E533" s="13" t="s">
        <v>985</v>
      </c>
      <c r="F533" s="10">
        <v>2</v>
      </c>
      <c r="G533" s="10"/>
      <c r="H533" s="1">
        <v>3451</v>
      </c>
      <c r="I533" s="1">
        <v>2931</v>
      </c>
      <c r="J533" s="1">
        <v>2931.6</v>
      </c>
      <c r="K533" s="2">
        <v>10.01</v>
      </c>
      <c r="L533">
        <v>2931</v>
      </c>
      <c r="M533">
        <v>2931</v>
      </c>
      <c r="N533">
        <v>2932</v>
      </c>
      <c r="O533">
        <v>2933</v>
      </c>
      <c r="P533">
        <v>2931</v>
      </c>
      <c r="S533">
        <v>2943</v>
      </c>
      <c r="T533">
        <v>2948.6</v>
      </c>
      <c r="U533" s="17">
        <v>38.517610060000003</v>
      </c>
      <c r="V533" s="60">
        <v>2949</v>
      </c>
      <c r="W533" s="60">
        <v>2941</v>
      </c>
      <c r="X533" s="60">
        <v>2945</v>
      </c>
      <c r="Y533" s="60">
        <v>2944</v>
      </c>
      <c r="Z533" s="60">
        <v>2947</v>
      </c>
    </row>
    <row r="534" spans="1:26" x14ac:dyDescent="0.6">
      <c r="A534" s="6" t="s">
        <v>937</v>
      </c>
      <c r="B534" s="10">
        <v>100</v>
      </c>
      <c r="C534" s="13" t="s">
        <v>973</v>
      </c>
      <c r="D534" s="13" t="s">
        <v>976</v>
      </c>
      <c r="E534" s="13" t="s">
        <v>982</v>
      </c>
      <c r="F534" s="10">
        <v>3</v>
      </c>
      <c r="G534" s="10"/>
      <c r="H534" s="1">
        <v>3454</v>
      </c>
      <c r="I534" s="1">
        <v>2955</v>
      </c>
      <c r="J534" s="1">
        <v>2955.6</v>
      </c>
      <c r="K534" s="2">
        <v>10</v>
      </c>
      <c r="L534">
        <v>2956</v>
      </c>
      <c r="M534">
        <v>2955</v>
      </c>
      <c r="N534">
        <v>2955</v>
      </c>
      <c r="O534">
        <v>2956</v>
      </c>
      <c r="P534">
        <v>2956</v>
      </c>
      <c r="S534">
        <v>2968</v>
      </c>
      <c r="T534">
        <v>2974</v>
      </c>
      <c r="U534" s="17">
        <v>37.556287099999999</v>
      </c>
      <c r="V534" s="60">
        <v>2974</v>
      </c>
      <c r="W534" s="60">
        <v>2973</v>
      </c>
      <c r="X534" s="60">
        <v>2977</v>
      </c>
      <c r="Y534" s="60">
        <v>2975</v>
      </c>
      <c r="Z534" s="60">
        <v>2969</v>
      </c>
    </row>
    <row r="535" spans="1:26" x14ac:dyDescent="0.6">
      <c r="A535" s="6" t="s">
        <v>938</v>
      </c>
      <c r="B535" s="10">
        <v>100</v>
      </c>
      <c r="C535" s="13" t="s">
        <v>973</v>
      </c>
      <c r="D535" s="13" t="s">
        <v>976</v>
      </c>
      <c r="E535" s="13" t="s">
        <v>982</v>
      </c>
      <c r="F535" s="10">
        <v>4</v>
      </c>
      <c r="G535" s="10"/>
      <c r="H535" s="1">
        <v>3208</v>
      </c>
      <c r="I535" s="1">
        <v>2938</v>
      </c>
      <c r="J535" s="1">
        <v>2939.4</v>
      </c>
      <c r="K535" s="2">
        <v>10.01</v>
      </c>
      <c r="L535">
        <v>2939</v>
      </c>
      <c r="M535">
        <v>2941</v>
      </c>
      <c r="N535">
        <v>2939</v>
      </c>
      <c r="O535">
        <v>2940</v>
      </c>
      <c r="P535">
        <v>2938</v>
      </c>
      <c r="S535">
        <v>2954</v>
      </c>
      <c r="T535">
        <v>2958.8</v>
      </c>
      <c r="U535" s="17">
        <v>37.437670320000002</v>
      </c>
      <c r="V535" s="60">
        <v>2961</v>
      </c>
      <c r="W535" s="60">
        <v>2966</v>
      </c>
      <c r="X535" s="60">
        <v>2957</v>
      </c>
      <c r="Y535" s="60">
        <v>2963</v>
      </c>
      <c r="Z535" s="60">
        <v>2960</v>
      </c>
    </row>
    <row r="536" spans="1:26" x14ac:dyDescent="0.6">
      <c r="A536" s="6" t="s">
        <v>939</v>
      </c>
      <c r="B536" s="10">
        <v>100</v>
      </c>
      <c r="C536" s="13" t="s">
        <v>973</v>
      </c>
      <c r="D536" s="13" t="s">
        <v>976</v>
      </c>
      <c r="E536" s="13" t="s">
        <v>982</v>
      </c>
      <c r="F536" s="10">
        <v>5</v>
      </c>
      <c r="G536" s="10"/>
      <c r="H536" s="1">
        <v>3400</v>
      </c>
      <c r="I536" s="1">
        <v>2919</v>
      </c>
      <c r="J536" s="1">
        <v>2919.6</v>
      </c>
      <c r="K536" s="2">
        <v>10.01</v>
      </c>
      <c r="L536">
        <v>2921</v>
      </c>
      <c r="M536">
        <v>2919</v>
      </c>
      <c r="N536">
        <v>2919</v>
      </c>
      <c r="O536">
        <v>2920</v>
      </c>
      <c r="P536">
        <v>2919</v>
      </c>
      <c r="S536">
        <v>2933</v>
      </c>
      <c r="T536">
        <v>2940</v>
      </c>
      <c r="U536" s="17">
        <v>38.039442579999999</v>
      </c>
      <c r="V536" s="60">
        <v>2949</v>
      </c>
      <c r="W536" s="60">
        <v>2939</v>
      </c>
      <c r="X536" s="60">
        <v>2944</v>
      </c>
      <c r="Y536" s="60">
        <v>2936</v>
      </c>
      <c r="Z536" s="60">
        <v>2944</v>
      </c>
    </row>
    <row r="537" spans="1:26" x14ac:dyDescent="0.6">
      <c r="A537" s="6" t="s">
        <v>940</v>
      </c>
      <c r="B537" s="10">
        <v>100</v>
      </c>
      <c r="C537" s="13" t="s">
        <v>973</v>
      </c>
      <c r="D537" s="13" t="s">
        <v>976</v>
      </c>
      <c r="E537" s="13" t="s">
        <v>982</v>
      </c>
      <c r="F537" s="10">
        <v>6</v>
      </c>
      <c r="G537" s="10"/>
      <c r="H537" s="1">
        <v>3407</v>
      </c>
      <c r="I537" s="1">
        <v>2944</v>
      </c>
      <c r="J537" s="1">
        <v>2945.8</v>
      </c>
      <c r="K537" s="2">
        <v>10.01</v>
      </c>
      <c r="L537">
        <v>2944</v>
      </c>
      <c r="M537">
        <v>2946</v>
      </c>
      <c r="N537">
        <v>2945</v>
      </c>
      <c r="O537">
        <v>2946</v>
      </c>
      <c r="P537">
        <v>2948</v>
      </c>
      <c r="S537">
        <v>2962</v>
      </c>
      <c r="T537">
        <v>2967</v>
      </c>
      <c r="U537" s="17">
        <v>38.327379759999999</v>
      </c>
      <c r="V537" s="60">
        <v>2970</v>
      </c>
      <c r="W537" s="60">
        <v>2959</v>
      </c>
      <c r="X537" s="60">
        <v>2966</v>
      </c>
      <c r="Y537" s="60">
        <v>2961</v>
      </c>
      <c r="Z537" s="60">
        <v>2964</v>
      </c>
    </row>
    <row r="538" spans="1:26" x14ac:dyDescent="0.6">
      <c r="A538" s="6" t="s">
        <v>941</v>
      </c>
      <c r="B538" s="10">
        <v>100</v>
      </c>
      <c r="C538" s="13" t="s">
        <v>973</v>
      </c>
      <c r="D538" s="13" t="s">
        <v>976</v>
      </c>
      <c r="E538" s="13" t="s">
        <v>982</v>
      </c>
      <c r="F538" s="10">
        <v>7</v>
      </c>
      <c r="G538" s="10"/>
      <c r="H538" s="1">
        <v>3317</v>
      </c>
      <c r="I538" s="1">
        <v>2935</v>
      </c>
      <c r="J538" s="1">
        <v>2935.4</v>
      </c>
      <c r="K538" s="2">
        <v>10.01</v>
      </c>
      <c r="L538">
        <v>2936</v>
      </c>
      <c r="M538">
        <v>2935</v>
      </c>
      <c r="N538">
        <v>2935</v>
      </c>
      <c r="O538">
        <v>2936</v>
      </c>
      <c r="P538">
        <v>2935</v>
      </c>
      <c r="S538">
        <v>2949</v>
      </c>
      <c r="T538">
        <v>2953.8</v>
      </c>
      <c r="U538" s="17">
        <v>37.028767739999999</v>
      </c>
      <c r="V538" s="60">
        <v>2962</v>
      </c>
      <c r="W538" s="60">
        <v>2950</v>
      </c>
      <c r="X538" s="60">
        <v>2953</v>
      </c>
      <c r="Y538" s="60">
        <v>2956</v>
      </c>
      <c r="Z538" s="60">
        <v>2952</v>
      </c>
    </row>
    <row r="539" spans="1:26" x14ac:dyDescent="0.6">
      <c r="A539" s="6" t="s">
        <v>942</v>
      </c>
      <c r="B539" s="10">
        <v>100</v>
      </c>
      <c r="C539" s="13" t="s">
        <v>973</v>
      </c>
      <c r="D539" s="13" t="s">
        <v>976</v>
      </c>
      <c r="E539" s="13" t="s">
        <v>982</v>
      </c>
      <c r="F539" s="10">
        <v>8</v>
      </c>
      <c r="G539" s="10"/>
      <c r="H539" s="1">
        <v>3476</v>
      </c>
      <c r="I539" s="1">
        <v>2934</v>
      </c>
      <c r="J539" s="1">
        <v>2934.8</v>
      </c>
      <c r="K539" s="2">
        <v>10.01</v>
      </c>
      <c r="L539">
        <v>2935</v>
      </c>
      <c r="M539">
        <v>2934</v>
      </c>
      <c r="N539">
        <v>2936</v>
      </c>
      <c r="O539">
        <v>2935</v>
      </c>
      <c r="P539">
        <v>2934</v>
      </c>
      <c r="S539">
        <v>2953</v>
      </c>
      <c r="T539">
        <v>2957.2</v>
      </c>
      <c r="U539" s="17">
        <v>37.216781740000002</v>
      </c>
      <c r="V539" s="60">
        <v>2950</v>
      </c>
      <c r="W539" s="60">
        <v>2947</v>
      </c>
      <c r="X539" s="60">
        <v>2951</v>
      </c>
      <c r="Y539" s="60">
        <v>2954</v>
      </c>
      <c r="Z539" s="60">
        <v>2956</v>
      </c>
    </row>
    <row r="540" spans="1:26" x14ac:dyDescent="0.6">
      <c r="A540" s="6" t="s">
        <v>943</v>
      </c>
      <c r="B540" s="10">
        <v>100</v>
      </c>
      <c r="C540" s="13" t="s">
        <v>973</v>
      </c>
      <c r="D540" s="13" t="s">
        <v>976</v>
      </c>
      <c r="E540" s="13" t="s">
        <v>982</v>
      </c>
      <c r="F540" s="10">
        <v>9</v>
      </c>
      <c r="G540" s="10"/>
      <c r="H540" s="1">
        <v>3375</v>
      </c>
      <c r="I540" s="1">
        <v>2953</v>
      </c>
      <c r="J540" s="1">
        <v>2954.8</v>
      </c>
      <c r="K540" s="2">
        <v>10</v>
      </c>
      <c r="L540">
        <v>2955</v>
      </c>
      <c r="M540">
        <v>2955</v>
      </c>
      <c r="N540">
        <v>2955</v>
      </c>
      <c r="O540">
        <v>2956</v>
      </c>
      <c r="P540">
        <v>2953</v>
      </c>
      <c r="S540">
        <v>2971</v>
      </c>
      <c r="T540">
        <v>2974.8</v>
      </c>
      <c r="U540" s="17">
        <v>37.592328240000001</v>
      </c>
      <c r="V540" s="60">
        <v>2973</v>
      </c>
      <c r="W540" s="60">
        <v>2976</v>
      </c>
      <c r="X540" s="60">
        <v>2973</v>
      </c>
      <c r="Y540" s="60">
        <v>2973</v>
      </c>
      <c r="Z540" s="60">
        <v>2979</v>
      </c>
    </row>
    <row r="541" spans="1:26" x14ac:dyDescent="0.6">
      <c r="A541" s="6" t="s">
        <v>944</v>
      </c>
      <c r="B541" s="10">
        <v>100</v>
      </c>
      <c r="C541" s="13" t="s">
        <v>973</v>
      </c>
      <c r="D541" s="13" t="s">
        <v>976</v>
      </c>
      <c r="E541" s="13" t="s">
        <v>982</v>
      </c>
      <c r="F541" s="10">
        <v>10</v>
      </c>
      <c r="G541" s="10"/>
      <c r="H541" s="1">
        <v>3605</v>
      </c>
      <c r="I541" s="1">
        <v>2906</v>
      </c>
      <c r="J541" s="1">
        <v>2906.8</v>
      </c>
      <c r="K541" s="2">
        <v>10.01</v>
      </c>
      <c r="L541">
        <v>2906</v>
      </c>
      <c r="M541">
        <v>2907</v>
      </c>
      <c r="N541">
        <v>2906</v>
      </c>
      <c r="O541">
        <v>2907</v>
      </c>
      <c r="P541">
        <v>2908</v>
      </c>
      <c r="S541">
        <v>2923</v>
      </c>
      <c r="T541">
        <v>2926</v>
      </c>
      <c r="U541" s="17">
        <v>37.807086079999998</v>
      </c>
      <c r="V541" s="60">
        <v>2927</v>
      </c>
      <c r="W541" s="60">
        <v>2928</v>
      </c>
      <c r="X541" s="60">
        <v>2918</v>
      </c>
      <c r="Y541" s="60">
        <v>2927</v>
      </c>
      <c r="Z541" s="60">
        <v>2927</v>
      </c>
    </row>
    <row r="542" spans="1:26" x14ac:dyDescent="0.6">
      <c r="A542" s="6" t="s">
        <v>945</v>
      </c>
      <c r="B542" s="10">
        <v>100</v>
      </c>
      <c r="C542" s="13" t="s">
        <v>973</v>
      </c>
      <c r="D542" s="13" t="s">
        <v>979</v>
      </c>
      <c r="E542" s="13" t="s">
        <v>981</v>
      </c>
      <c r="F542" s="10">
        <v>1</v>
      </c>
      <c r="G542" s="10"/>
      <c r="H542" s="1">
        <v>3624</v>
      </c>
      <c r="I542" s="1">
        <v>3425</v>
      </c>
      <c r="J542" s="1">
        <v>3426</v>
      </c>
      <c r="K542" s="2">
        <v>10.01</v>
      </c>
      <c r="L542">
        <v>3427</v>
      </c>
      <c r="M542">
        <v>3426</v>
      </c>
      <c r="N542">
        <v>3426</v>
      </c>
      <c r="O542">
        <v>3425</v>
      </c>
      <c r="P542">
        <v>3426</v>
      </c>
      <c r="S542">
        <v>3443</v>
      </c>
      <c r="T542">
        <v>3448.4</v>
      </c>
      <c r="U542" s="17">
        <v>37.695569939999999</v>
      </c>
      <c r="V542" s="60">
        <v>3448</v>
      </c>
      <c r="W542" s="60">
        <v>3441</v>
      </c>
      <c r="X542" s="60">
        <v>3443</v>
      </c>
      <c r="Y542" s="60">
        <v>3454</v>
      </c>
      <c r="Z542" s="60">
        <v>3451</v>
      </c>
    </row>
    <row r="543" spans="1:26" x14ac:dyDescent="0.6">
      <c r="A543" s="6" t="s">
        <v>946</v>
      </c>
      <c r="B543" s="10">
        <v>100</v>
      </c>
      <c r="C543" s="13" t="s">
        <v>973</v>
      </c>
      <c r="D543" s="13" t="s">
        <v>979</v>
      </c>
      <c r="E543" s="13" t="s">
        <v>983</v>
      </c>
      <c r="F543" s="10">
        <v>2</v>
      </c>
      <c r="G543" s="10"/>
      <c r="H543" s="1">
        <v>3647</v>
      </c>
      <c r="I543" s="1">
        <v>3424</v>
      </c>
      <c r="J543" s="1">
        <v>3426</v>
      </c>
      <c r="K543" s="2">
        <v>10.01</v>
      </c>
      <c r="L543">
        <v>3426</v>
      </c>
      <c r="M543">
        <v>3426</v>
      </c>
      <c r="N543">
        <v>3427</v>
      </c>
      <c r="O543">
        <v>3424</v>
      </c>
      <c r="P543">
        <v>3427</v>
      </c>
      <c r="S543">
        <v>3438</v>
      </c>
      <c r="T543">
        <v>3441.8</v>
      </c>
      <c r="U543" s="17">
        <v>37.39580728</v>
      </c>
      <c r="V543" s="60">
        <v>3441</v>
      </c>
      <c r="W543" s="60">
        <v>3440</v>
      </c>
      <c r="X543" s="60">
        <v>3436</v>
      </c>
      <c r="Y543" s="60">
        <v>3443</v>
      </c>
      <c r="Z543" s="60">
        <v>3443</v>
      </c>
    </row>
    <row r="544" spans="1:26" x14ac:dyDescent="0.6">
      <c r="A544" s="6" t="s">
        <v>947</v>
      </c>
      <c r="B544" s="10">
        <v>100</v>
      </c>
      <c r="C544" s="13" t="s">
        <v>973</v>
      </c>
      <c r="D544" s="13" t="s">
        <v>978</v>
      </c>
      <c r="E544" s="13" t="s">
        <v>980</v>
      </c>
      <c r="F544" s="10">
        <v>3</v>
      </c>
      <c r="G544" s="10"/>
      <c r="H544" s="1">
        <v>3685</v>
      </c>
      <c r="I544" s="1">
        <v>3449</v>
      </c>
      <c r="J544" s="1">
        <v>3449.6</v>
      </c>
      <c r="K544" s="2">
        <v>10.01</v>
      </c>
      <c r="L544">
        <v>3450</v>
      </c>
      <c r="M544">
        <v>3450</v>
      </c>
      <c r="N544">
        <v>3450</v>
      </c>
      <c r="O544">
        <v>3449</v>
      </c>
      <c r="P544">
        <v>3449</v>
      </c>
      <c r="S544">
        <v>3459</v>
      </c>
      <c r="T544">
        <v>3465</v>
      </c>
      <c r="U544" s="17">
        <v>37.771279100000001</v>
      </c>
      <c r="V544" s="60">
        <v>3469</v>
      </c>
      <c r="W544" s="60">
        <v>3475</v>
      </c>
      <c r="X544" s="60">
        <v>3467</v>
      </c>
      <c r="Y544" s="60">
        <v>3470</v>
      </c>
      <c r="Z544" s="60">
        <v>3469</v>
      </c>
    </row>
    <row r="545" spans="1:26" x14ac:dyDescent="0.6">
      <c r="A545" s="6" t="s">
        <v>948</v>
      </c>
      <c r="B545" s="10">
        <v>100</v>
      </c>
      <c r="C545" s="13" t="s">
        <v>973</v>
      </c>
      <c r="D545" s="13" t="s">
        <v>978</v>
      </c>
      <c r="E545" s="13" t="s">
        <v>980</v>
      </c>
      <c r="F545" s="10">
        <v>4</v>
      </c>
      <c r="G545" s="10"/>
      <c r="H545" s="1">
        <v>3574</v>
      </c>
      <c r="I545" s="1">
        <v>3435</v>
      </c>
      <c r="J545" s="1">
        <v>3436</v>
      </c>
      <c r="K545" s="2">
        <v>10.01</v>
      </c>
      <c r="L545">
        <v>3437</v>
      </c>
      <c r="M545">
        <v>3435</v>
      </c>
      <c r="N545">
        <v>3435</v>
      </c>
      <c r="O545">
        <v>3437</v>
      </c>
      <c r="P545">
        <v>3436</v>
      </c>
      <c r="S545">
        <v>3449</v>
      </c>
      <c r="T545">
        <v>3452.2</v>
      </c>
      <c r="U545" s="17">
        <v>38.2953312</v>
      </c>
      <c r="V545" s="60">
        <v>3455</v>
      </c>
      <c r="W545" s="60">
        <v>3456</v>
      </c>
      <c r="X545" s="60">
        <v>3452</v>
      </c>
      <c r="Y545" s="60">
        <v>3460</v>
      </c>
      <c r="Z545" s="60">
        <v>3458</v>
      </c>
    </row>
    <row r="546" spans="1:26" x14ac:dyDescent="0.6">
      <c r="A546" s="6" t="s">
        <v>949</v>
      </c>
      <c r="B546" s="10">
        <v>100</v>
      </c>
      <c r="C546" s="13" t="s">
        <v>973</v>
      </c>
      <c r="D546" s="13" t="s">
        <v>978</v>
      </c>
      <c r="E546" s="13" t="s">
        <v>980</v>
      </c>
      <c r="F546" s="10">
        <v>5</v>
      </c>
      <c r="G546" s="10"/>
      <c r="H546" s="1">
        <v>3627</v>
      </c>
      <c r="I546" s="1">
        <v>3413</v>
      </c>
      <c r="J546" s="1">
        <v>3414.4</v>
      </c>
      <c r="K546" s="2">
        <v>10.01</v>
      </c>
      <c r="L546">
        <v>3413</v>
      </c>
      <c r="M546">
        <v>3415</v>
      </c>
      <c r="N546">
        <v>3414</v>
      </c>
      <c r="O546">
        <v>3416</v>
      </c>
      <c r="P546">
        <v>3414</v>
      </c>
      <c r="S546">
        <v>3431</v>
      </c>
      <c r="T546">
        <v>3436.2</v>
      </c>
      <c r="U546" s="17">
        <v>37.312212500000001</v>
      </c>
      <c r="V546" s="60">
        <v>3427</v>
      </c>
      <c r="W546" s="60">
        <v>3433</v>
      </c>
      <c r="X546" s="60">
        <v>3434</v>
      </c>
      <c r="Y546" s="60">
        <v>3433</v>
      </c>
      <c r="Z546" s="60">
        <v>3435</v>
      </c>
    </row>
    <row r="547" spans="1:26" x14ac:dyDescent="0.6">
      <c r="A547" s="6" t="s">
        <v>950</v>
      </c>
      <c r="B547" s="10">
        <v>100</v>
      </c>
      <c r="C547" s="13" t="s">
        <v>973</v>
      </c>
      <c r="D547" s="13" t="s">
        <v>978</v>
      </c>
      <c r="E547" s="13" t="s">
        <v>980</v>
      </c>
      <c r="F547" s="10">
        <v>6</v>
      </c>
      <c r="G547" s="10"/>
      <c r="H547" s="1">
        <v>3644</v>
      </c>
      <c r="I547" s="1">
        <v>3439</v>
      </c>
      <c r="J547" s="1">
        <v>3439.8</v>
      </c>
      <c r="K547" s="2">
        <v>10.01</v>
      </c>
      <c r="L547">
        <v>3440</v>
      </c>
      <c r="M547">
        <v>3440</v>
      </c>
      <c r="N547">
        <v>3439</v>
      </c>
      <c r="O547">
        <v>3441</v>
      </c>
      <c r="P547">
        <v>3439</v>
      </c>
      <c r="S547">
        <v>3455</v>
      </c>
      <c r="T547">
        <v>3456.8</v>
      </c>
      <c r="U547" s="17">
        <v>37.680313599999998</v>
      </c>
      <c r="V547" s="60">
        <v>3461</v>
      </c>
      <c r="W547" s="60">
        <v>3455</v>
      </c>
      <c r="X547" s="60">
        <v>3465</v>
      </c>
      <c r="Y547" s="60">
        <v>3456</v>
      </c>
      <c r="Z547" s="60">
        <v>3461</v>
      </c>
    </row>
    <row r="548" spans="1:26" x14ac:dyDescent="0.6">
      <c r="A548" s="6" t="s">
        <v>951</v>
      </c>
      <c r="B548" s="10">
        <v>100</v>
      </c>
      <c r="C548" s="13" t="s">
        <v>973</v>
      </c>
      <c r="D548" s="13" t="s">
        <v>978</v>
      </c>
      <c r="E548" s="13" t="s">
        <v>980</v>
      </c>
      <c r="F548" s="10">
        <v>7</v>
      </c>
      <c r="G548" s="10"/>
      <c r="H548" s="1">
        <v>3603</v>
      </c>
      <c r="I548" s="1">
        <v>3428</v>
      </c>
      <c r="J548" s="1">
        <v>3429.6</v>
      </c>
      <c r="K548" s="2">
        <v>10.01</v>
      </c>
      <c r="L548">
        <v>3430</v>
      </c>
      <c r="M548">
        <v>3430</v>
      </c>
      <c r="N548">
        <v>3430</v>
      </c>
      <c r="O548">
        <v>3428</v>
      </c>
      <c r="P548">
        <v>3430</v>
      </c>
      <c r="S548">
        <v>3437</v>
      </c>
      <c r="T548">
        <v>3441.8</v>
      </c>
      <c r="U548" s="17">
        <v>38.786647479999999</v>
      </c>
      <c r="V548" s="60">
        <v>3446</v>
      </c>
      <c r="W548" s="60">
        <v>3446</v>
      </c>
      <c r="X548" s="60">
        <v>3451</v>
      </c>
      <c r="Y548" s="60">
        <v>3455</v>
      </c>
      <c r="Z548" s="60">
        <v>3447</v>
      </c>
    </row>
    <row r="549" spans="1:26" x14ac:dyDescent="0.6">
      <c r="A549" s="6" t="s">
        <v>952</v>
      </c>
      <c r="B549" s="10">
        <v>100</v>
      </c>
      <c r="C549" s="13" t="s">
        <v>973</v>
      </c>
      <c r="D549" s="13" t="s">
        <v>978</v>
      </c>
      <c r="E549" s="13" t="s">
        <v>980</v>
      </c>
      <c r="F549" s="10">
        <v>8</v>
      </c>
      <c r="G549" s="10"/>
      <c r="H549" s="1">
        <v>3672</v>
      </c>
      <c r="I549" s="1">
        <v>3430</v>
      </c>
      <c r="J549" s="1">
        <v>3431.6</v>
      </c>
      <c r="K549" s="2">
        <v>10</v>
      </c>
      <c r="L549">
        <v>3433</v>
      </c>
      <c r="M549">
        <v>3430</v>
      </c>
      <c r="N549">
        <v>3432</v>
      </c>
      <c r="O549">
        <v>3431</v>
      </c>
      <c r="P549">
        <v>3432</v>
      </c>
      <c r="S549">
        <v>3441</v>
      </c>
      <c r="T549">
        <v>3446.4</v>
      </c>
      <c r="U549" s="17">
        <v>37.95970312</v>
      </c>
      <c r="V549" s="60">
        <v>3448</v>
      </c>
      <c r="W549" s="60">
        <v>3449</v>
      </c>
      <c r="X549" s="60">
        <v>3450</v>
      </c>
      <c r="Y549" s="60">
        <v>3453</v>
      </c>
      <c r="Z549" s="60">
        <v>3454</v>
      </c>
    </row>
    <row r="550" spans="1:26" x14ac:dyDescent="0.6">
      <c r="A550" s="6" t="s">
        <v>953</v>
      </c>
      <c r="B550" s="10">
        <v>100</v>
      </c>
      <c r="C550" s="13" t="s">
        <v>973</v>
      </c>
      <c r="D550" s="13" t="s">
        <v>978</v>
      </c>
      <c r="E550" s="13" t="s">
        <v>980</v>
      </c>
      <c r="F550" s="10">
        <v>9</v>
      </c>
      <c r="G550" s="10"/>
      <c r="H550" s="1">
        <v>3656</v>
      </c>
      <c r="I550" s="1">
        <v>3447</v>
      </c>
      <c r="J550" s="1">
        <v>3448.8</v>
      </c>
      <c r="K550" s="2">
        <v>10.01</v>
      </c>
      <c r="L550">
        <v>3451</v>
      </c>
      <c r="M550">
        <v>3449</v>
      </c>
      <c r="N550">
        <v>3449</v>
      </c>
      <c r="O550">
        <v>3447</v>
      </c>
      <c r="P550">
        <v>3448</v>
      </c>
      <c r="S550">
        <v>3457</v>
      </c>
      <c r="T550">
        <v>3470</v>
      </c>
      <c r="U550" s="17">
        <v>37.183955019999999</v>
      </c>
      <c r="V550" s="60">
        <v>3466</v>
      </c>
      <c r="W550" s="60">
        <v>3465</v>
      </c>
      <c r="X550" s="60">
        <v>3469</v>
      </c>
      <c r="Y550" s="60">
        <v>3471</v>
      </c>
      <c r="Z550" s="60">
        <v>3463</v>
      </c>
    </row>
    <row r="551" spans="1:26" x14ac:dyDescent="0.6">
      <c r="A551" s="6" t="s">
        <v>954</v>
      </c>
      <c r="B551" s="10">
        <v>100</v>
      </c>
      <c r="C551" s="13" t="s">
        <v>973</v>
      </c>
      <c r="D551" s="13" t="s">
        <v>978</v>
      </c>
      <c r="E551" s="13" t="s">
        <v>980</v>
      </c>
      <c r="F551" s="10">
        <v>10</v>
      </c>
      <c r="G551" s="10"/>
      <c r="H551" s="1">
        <v>3716</v>
      </c>
      <c r="I551" s="1">
        <v>3401</v>
      </c>
      <c r="J551" s="1">
        <v>3401.8</v>
      </c>
      <c r="K551" s="2">
        <v>10.01</v>
      </c>
      <c r="L551">
        <v>3402</v>
      </c>
      <c r="M551">
        <v>3401</v>
      </c>
      <c r="N551">
        <v>3402</v>
      </c>
      <c r="O551">
        <v>3402</v>
      </c>
      <c r="P551">
        <v>3402</v>
      </c>
      <c r="S551">
        <v>3414</v>
      </c>
      <c r="T551">
        <v>3420.8</v>
      </c>
      <c r="U551" s="17">
        <v>37.187744559999999</v>
      </c>
      <c r="V551" s="60">
        <v>3418</v>
      </c>
      <c r="W551" s="60">
        <v>3421</v>
      </c>
      <c r="X551" s="60">
        <v>3423</v>
      </c>
      <c r="Y551" s="60">
        <v>3415</v>
      </c>
      <c r="Z551" s="60">
        <v>3417</v>
      </c>
    </row>
    <row r="552" spans="1:26" x14ac:dyDescent="0.6">
      <c r="A552" s="6" t="s">
        <v>955</v>
      </c>
      <c r="B552" s="10">
        <v>100</v>
      </c>
      <c r="C552" s="13" t="s">
        <v>973</v>
      </c>
      <c r="D552" s="13" t="s">
        <v>978</v>
      </c>
      <c r="E552" s="13" t="s">
        <v>984</v>
      </c>
      <c r="F552" s="10">
        <v>1</v>
      </c>
      <c r="G552" s="10"/>
      <c r="H552" s="1">
        <v>3813</v>
      </c>
      <c r="I552" s="1">
        <v>3427</v>
      </c>
      <c r="J552" s="1">
        <v>3427.8</v>
      </c>
      <c r="K552" s="2">
        <v>10.01</v>
      </c>
      <c r="L552">
        <v>3429</v>
      </c>
      <c r="M552">
        <v>3427</v>
      </c>
      <c r="N552">
        <v>3427</v>
      </c>
      <c r="O552">
        <v>3429</v>
      </c>
      <c r="P552">
        <v>3427</v>
      </c>
      <c r="S552">
        <v>3445</v>
      </c>
      <c r="T552">
        <v>3448.8</v>
      </c>
      <c r="U552" s="17">
        <v>38.231964840000003</v>
      </c>
      <c r="V552" s="60">
        <v>3442</v>
      </c>
      <c r="W552" s="60">
        <v>3443</v>
      </c>
      <c r="X552" s="60">
        <v>3440</v>
      </c>
      <c r="Y552" s="60">
        <v>3445</v>
      </c>
      <c r="Z552" s="60">
        <v>3459</v>
      </c>
    </row>
    <row r="553" spans="1:26" x14ac:dyDescent="0.6">
      <c r="A553" s="6" t="s">
        <v>956</v>
      </c>
      <c r="B553" s="10">
        <v>100</v>
      </c>
      <c r="C553" s="13" t="s">
        <v>973</v>
      </c>
      <c r="D553" s="13" t="s">
        <v>978</v>
      </c>
      <c r="E553" s="13" t="s">
        <v>985</v>
      </c>
      <c r="F553" s="10">
        <v>2</v>
      </c>
      <c r="G553" s="10"/>
      <c r="H553" s="1">
        <v>3866</v>
      </c>
      <c r="I553" s="1">
        <v>3425</v>
      </c>
      <c r="J553" s="1">
        <v>3426</v>
      </c>
      <c r="K553" s="2">
        <v>10.01</v>
      </c>
      <c r="L553">
        <v>3426</v>
      </c>
      <c r="M553">
        <v>3425</v>
      </c>
      <c r="N553">
        <v>3427</v>
      </c>
      <c r="O553">
        <v>3426</v>
      </c>
      <c r="P553">
        <v>3426</v>
      </c>
      <c r="S553">
        <v>3437</v>
      </c>
      <c r="T553">
        <v>3441.2</v>
      </c>
      <c r="U553" s="17">
        <v>37.260260359999997</v>
      </c>
      <c r="V553" s="60">
        <v>3440</v>
      </c>
      <c r="W553" s="60">
        <v>3440</v>
      </c>
      <c r="X553" s="60">
        <v>3447</v>
      </c>
      <c r="Y553" s="60">
        <v>3445</v>
      </c>
      <c r="Z553" s="60">
        <v>3446</v>
      </c>
    </row>
    <row r="554" spans="1:26" x14ac:dyDescent="0.6">
      <c r="A554" s="6" t="s">
        <v>957</v>
      </c>
      <c r="B554" s="10">
        <v>100</v>
      </c>
      <c r="C554" s="13" t="s">
        <v>973</v>
      </c>
      <c r="D554" s="13" t="s">
        <v>978</v>
      </c>
      <c r="E554" s="13" t="s">
        <v>982</v>
      </c>
      <c r="F554" s="10">
        <v>3</v>
      </c>
      <c r="G554" s="10"/>
      <c r="H554" s="1">
        <v>3885</v>
      </c>
      <c r="I554" s="1">
        <v>3448</v>
      </c>
      <c r="J554" s="1">
        <v>3449.6</v>
      </c>
      <c r="K554" s="2">
        <v>10.01</v>
      </c>
      <c r="L554">
        <v>3451</v>
      </c>
      <c r="M554">
        <v>3448</v>
      </c>
      <c r="N554">
        <v>3450</v>
      </c>
      <c r="O554">
        <v>3449</v>
      </c>
      <c r="P554">
        <v>3450</v>
      </c>
      <c r="S554">
        <v>3463</v>
      </c>
      <c r="T554">
        <v>3466.8</v>
      </c>
      <c r="U554" s="17">
        <v>37.883785920000001</v>
      </c>
      <c r="V554" s="60">
        <v>3467</v>
      </c>
      <c r="W554" s="60">
        <v>3468</v>
      </c>
      <c r="X554" s="60">
        <v>3468</v>
      </c>
      <c r="Y554" s="60">
        <v>3472</v>
      </c>
      <c r="Z554" s="60">
        <v>3469</v>
      </c>
    </row>
    <row r="555" spans="1:26" x14ac:dyDescent="0.6">
      <c r="A555" s="6" t="s">
        <v>958</v>
      </c>
      <c r="B555" s="10">
        <v>100</v>
      </c>
      <c r="C555" s="13" t="s">
        <v>973</v>
      </c>
      <c r="D555" s="13" t="s">
        <v>978</v>
      </c>
      <c r="E555" s="13" t="s">
        <v>982</v>
      </c>
      <c r="F555" s="10">
        <v>4</v>
      </c>
      <c r="G555" s="10"/>
      <c r="H555" s="1">
        <v>3663</v>
      </c>
      <c r="I555" s="1">
        <v>3434</v>
      </c>
      <c r="J555" s="1">
        <v>3435</v>
      </c>
      <c r="K555" s="2">
        <v>10.01</v>
      </c>
      <c r="L555">
        <v>3434</v>
      </c>
      <c r="M555">
        <v>3437</v>
      </c>
      <c r="N555">
        <v>3435</v>
      </c>
      <c r="O555">
        <v>3435</v>
      </c>
      <c r="P555">
        <v>3434</v>
      </c>
      <c r="S555">
        <v>3453</v>
      </c>
      <c r="T555">
        <v>3457.4</v>
      </c>
      <c r="U555" s="17">
        <v>37.811370320000002</v>
      </c>
      <c r="V555" s="60">
        <v>3452</v>
      </c>
      <c r="W555" s="60">
        <v>3456</v>
      </c>
      <c r="X555" s="60">
        <v>3445</v>
      </c>
      <c r="Y555" s="60">
        <v>3453</v>
      </c>
      <c r="Z555" s="60">
        <v>3458</v>
      </c>
    </row>
    <row r="556" spans="1:26" x14ac:dyDescent="0.6">
      <c r="A556" s="6" t="s">
        <v>959</v>
      </c>
      <c r="B556" s="10">
        <v>100</v>
      </c>
      <c r="C556" s="13" t="s">
        <v>973</v>
      </c>
      <c r="D556" s="13" t="s">
        <v>978</v>
      </c>
      <c r="E556" s="13" t="s">
        <v>982</v>
      </c>
      <c r="F556" s="10">
        <v>5</v>
      </c>
      <c r="G556" s="10"/>
      <c r="H556" s="1">
        <v>3820</v>
      </c>
      <c r="I556" s="1">
        <v>3413</v>
      </c>
      <c r="J556" s="1">
        <v>3414.4</v>
      </c>
      <c r="K556" s="2">
        <v>10</v>
      </c>
      <c r="L556">
        <v>3413</v>
      </c>
      <c r="M556">
        <v>3413</v>
      </c>
      <c r="N556">
        <v>3415</v>
      </c>
      <c r="O556">
        <v>3414</v>
      </c>
      <c r="P556">
        <v>3417</v>
      </c>
      <c r="S556">
        <v>3428</v>
      </c>
      <c r="T556">
        <v>3431.4</v>
      </c>
      <c r="U556" s="17">
        <v>38.580160360000001</v>
      </c>
      <c r="V556" s="60">
        <v>3432</v>
      </c>
      <c r="W556" s="60">
        <v>3438</v>
      </c>
      <c r="X556" s="60">
        <v>3435</v>
      </c>
      <c r="Y556" s="60">
        <v>3445</v>
      </c>
      <c r="Z556" s="60">
        <v>3432</v>
      </c>
    </row>
    <row r="557" spans="1:26" x14ac:dyDescent="0.6">
      <c r="A557" s="6" t="s">
        <v>960</v>
      </c>
      <c r="B557" s="10">
        <v>100</v>
      </c>
      <c r="C557" s="13" t="s">
        <v>973</v>
      </c>
      <c r="D557" s="13" t="s">
        <v>978</v>
      </c>
      <c r="E557" s="13" t="s">
        <v>982</v>
      </c>
      <c r="F557" s="10">
        <v>6</v>
      </c>
      <c r="G557" s="10"/>
      <c r="H557" s="1">
        <v>3829</v>
      </c>
      <c r="I557" s="1">
        <v>3438</v>
      </c>
      <c r="J557" s="1">
        <v>3440.6</v>
      </c>
      <c r="K557" s="2">
        <v>10.01</v>
      </c>
      <c r="L557">
        <v>3442</v>
      </c>
      <c r="M557">
        <v>3439</v>
      </c>
      <c r="N557">
        <v>3442</v>
      </c>
      <c r="O557">
        <v>3442</v>
      </c>
      <c r="P557">
        <v>3438</v>
      </c>
      <c r="S557">
        <v>3452</v>
      </c>
      <c r="T557">
        <v>3458.2</v>
      </c>
      <c r="U557" s="17">
        <v>38.890118659999999</v>
      </c>
      <c r="V557" s="60">
        <v>3454</v>
      </c>
      <c r="W557" s="60">
        <v>3464</v>
      </c>
      <c r="X557" s="60">
        <v>3462</v>
      </c>
      <c r="Y557" s="60">
        <v>3452</v>
      </c>
      <c r="Z557" s="60">
        <v>3464</v>
      </c>
    </row>
    <row r="558" spans="1:26" x14ac:dyDescent="0.6">
      <c r="A558" s="6" t="s">
        <v>961</v>
      </c>
      <c r="B558" s="10">
        <v>100</v>
      </c>
      <c r="C558" s="13" t="s">
        <v>973</v>
      </c>
      <c r="D558" s="13" t="s">
        <v>978</v>
      </c>
      <c r="E558" s="13" t="s">
        <v>982</v>
      </c>
      <c r="F558" s="10">
        <v>7</v>
      </c>
      <c r="G558" s="10"/>
      <c r="H558" s="1">
        <v>3753</v>
      </c>
      <c r="I558" s="1">
        <v>3429</v>
      </c>
      <c r="J558" s="1">
        <v>3429.8</v>
      </c>
      <c r="K558" s="2">
        <v>10.01</v>
      </c>
      <c r="L558">
        <v>3430</v>
      </c>
      <c r="M558">
        <v>3429</v>
      </c>
      <c r="N558">
        <v>3430</v>
      </c>
      <c r="O558">
        <v>3430</v>
      </c>
      <c r="P558">
        <v>3430</v>
      </c>
      <c r="S558">
        <v>3447</v>
      </c>
      <c r="T558">
        <v>3449.2</v>
      </c>
      <c r="U558" s="17">
        <v>37.17612338</v>
      </c>
      <c r="V558" s="60">
        <v>3459</v>
      </c>
      <c r="W558" s="60">
        <v>3460</v>
      </c>
      <c r="X558" s="60">
        <v>3445</v>
      </c>
      <c r="Y558" s="60">
        <v>3444</v>
      </c>
      <c r="Z558" s="60">
        <v>3437</v>
      </c>
    </row>
    <row r="559" spans="1:26" x14ac:dyDescent="0.6">
      <c r="A559" s="6" t="s">
        <v>962</v>
      </c>
      <c r="B559" s="10">
        <v>100</v>
      </c>
      <c r="C559" s="13" t="s">
        <v>973</v>
      </c>
      <c r="D559" s="13" t="s">
        <v>978</v>
      </c>
      <c r="E559" s="13" t="s">
        <v>982</v>
      </c>
      <c r="F559" s="10">
        <v>8</v>
      </c>
      <c r="G559" s="10"/>
      <c r="H559" s="1">
        <v>3901</v>
      </c>
      <c r="I559" s="1">
        <v>3431</v>
      </c>
      <c r="J559" s="1">
        <v>3431.6</v>
      </c>
      <c r="K559" s="2">
        <v>10.01</v>
      </c>
      <c r="L559">
        <v>3431</v>
      </c>
      <c r="M559">
        <v>3432</v>
      </c>
      <c r="N559">
        <v>3432</v>
      </c>
      <c r="O559">
        <v>3432</v>
      </c>
      <c r="P559">
        <v>3431</v>
      </c>
      <c r="S559">
        <v>3449</v>
      </c>
      <c r="T559">
        <v>3451.4</v>
      </c>
      <c r="U559" s="17">
        <v>38.952720020000001</v>
      </c>
      <c r="V559" s="60">
        <v>3461</v>
      </c>
      <c r="W559" s="60">
        <v>3447</v>
      </c>
      <c r="X559" s="60">
        <v>3455</v>
      </c>
      <c r="Y559" s="60">
        <v>3452</v>
      </c>
      <c r="Z559" s="60">
        <v>3444</v>
      </c>
    </row>
    <row r="560" spans="1:26" x14ac:dyDescent="0.6">
      <c r="A560" s="6" t="s">
        <v>963</v>
      </c>
      <c r="B560" s="10">
        <v>100</v>
      </c>
      <c r="C560" s="13" t="s">
        <v>973</v>
      </c>
      <c r="D560" s="13" t="s">
        <v>978</v>
      </c>
      <c r="E560" s="13" t="s">
        <v>982</v>
      </c>
      <c r="F560" s="10">
        <v>9</v>
      </c>
      <c r="G560" s="10"/>
      <c r="H560" s="1">
        <v>3816</v>
      </c>
      <c r="I560" s="1">
        <v>3449</v>
      </c>
      <c r="J560" s="1">
        <v>3449.6</v>
      </c>
      <c r="K560" s="2">
        <v>10</v>
      </c>
      <c r="L560">
        <v>3449</v>
      </c>
      <c r="M560">
        <v>3450</v>
      </c>
      <c r="N560">
        <v>3451</v>
      </c>
      <c r="O560">
        <v>3449</v>
      </c>
      <c r="P560">
        <v>3449</v>
      </c>
      <c r="S560">
        <v>3466</v>
      </c>
      <c r="T560">
        <v>3470</v>
      </c>
      <c r="U560" s="17">
        <v>38.6156188</v>
      </c>
      <c r="V560" s="60">
        <v>3464</v>
      </c>
      <c r="W560" s="60">
        <v>3468</v>
      </c>
      <c r="X560" s="60">
        <v>3463</v>
      </c>
      <c r="Y560" s="60">
        <v>3468</v>
      </c>
      <c r="Z560" s="60">
        <v>3463</v>
      </c>
    </row>
    <row r="561" spans="1:26" x14ac:dyDescent="0.6">
      <c r="A561" s="6" t="s">
        <v>964</v>
      </c>
      <c r="B561" s="10">
        <v>100</v>
      </c>
      <c r="C561" s="13" t="s">
        <v>973</v>
      </c>
      <c r="D561" s="13" t="s">
        <v>978</v>
      </c>
      <c r="E561" s="13" t="s">
        <v>982</v>
      </c>
      <c r="F561" s="10">
        <v>10</v>
      </c>
      <c r="G561" s="10"/>
      <c r="H561" s="1">
        <v>4016</v>
      </c>
      <c r="I561" s="1">
        <v>3402</v>
      </c>
      <c r="J561" s="1">
        <v>3402.6</v>
      </c>
      <c r="K561" s="2">
        <v>10.01</v>
      </c>
      <c r="L561">
        <v>3403</v>
      </c>
      <c r="M561">
        <v>3402</v>
      </c>
      <c r="N561">
        <v>3402</v>
      </c>
      <c r="O561">
        <v>3403</v>
      </c>
      <c r="P561">
        <v>3403</v>
      </c>
      <c r="S561">
        <v>3415</v>
      </c>
      <c r="T561">
        <v>3420</v>
      </c>
      <c r="U561" s="17">
        <v>37.995443420000001</v>
      </c>
      <c r="V561" s="60">
        <v>3417</v>
      </c>
      <c r="W561" s="60">
        <v>3424</v>
      </c>
      <c r="X561" s="60">
        <v>3423</v>
      </c>
      <c r="Y561" s="60">
        <v>3422</v>
      </c>
      <c r="Z561" s="60">
        <v>3414</v>
      </c>
    </row>
    <row r="562" spans="1:26" x14ac:dyDescent="0.6">
      <c r="Q562" s="1"/>
      <c r="R562" s="7"/>
      <c r="S562" s="1"/>
      <c r="T562" s="2"/>
      <c r="U562" s="18"/>
    </row>
    <row r="565" spans="1:26" x14ac:dyDescent="0.6">
      <c r="B565" s="14" t="s">
        <v>969</v>
      </c>
      <c r="C565" s="14" t="s">
        <v>965</v>
      </c>
      <c r="D565" s="14" t="s">
        <v>966</v>
      </c>
      <c r="E565" s="14" t="s">
        <v>967</v>
      </c>
      <c r="F565" s="14"/>
    </row>
    <row r="566" spans="1:26" x14ac:dyDescent="0.6">
      <c r="B566" s="1">
        <v>10</v>
      </c>
      <c r="C566" s="20" t="s">
        <v>993</v>
      </c>
      <c r="D566" s="21" t="s">
        <v>995</v>
      </c>
      <c r="E566" s="21" t="s">
        <v>997</v>
      </c>
    </row>
    <row r="567" spans="1:26" x14ac:dyDescent="0.6">
      <c r="B567" s="1">
        <v>15</v>
      </c>
      <c r="C567" s="21" t="s">
        <v>994</v>
      </c>
      <c r="D567" s="21" t="s">
        <v>996</v>
      </c>
      <c r="E567" s="21" t="s">
        <v>998</v>
      </c>
    </row>
    <row r="568" spans="1:26" x14ac:dyDescent="0.6">
      <c r="B568" s="1">
        <v>20</v>
      </c>
    </row>
    <row r="569" spans="1:26" x14ac:dyDescent="0.6">
      <c r="B569" s="1">
        <v>25</v>
      </c>
    </row>
    <row r="570" spans="1:26" x14ac:dyDescent="0.6">
      <c r="B570" s="1">
        <v>50</v>
      </c>
    </row>
    <row r="571" spans="1:26" x14ac:dyDescent="0.6">
      <c r="B571" s="1">
        <v>75</v>
      </c>
    </row>
    <row r="572" spans="1:26" x14ac:dyDescent="0.6">
      <c r="B572" s="1">
        <v>100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00"/>
  <sheetViews>
    <sheetView topLeftCell="B20" zoomScale="70" zoomScaleNormal="70" workbookViewId="0">
      <selection activeCell="AE2" sqref="AE2"/>
    </sheetView>
  </sheetViews>
  <sheetFormatPr defaultRowHeight="16.5" x14ac:dyDescent="0.6"/>
  <cols>
    <col min="1" max="1" width="8.578125" hidden="1" customWidth="1"/>
    <col min="2" max="2" width="5.7890625" style="26" customWidth="1"/>
    <col min="3" max="3" width="6.9453125" style="1" customWidth="1"/>
    <col min="4" max="4" width="5.89453125" style="1" customWidth="1"/>
    <col min="5" max="6" width="6.1015625" style="1" customWidth="1"/>
    <col min="7" max="7" width="20.15625" style="60" customWidth="1"/>
    <col min="8" max="8" width="10.68359375" style="1" customWidth="1"/>
    <col min="9" max="9" width="9.9453125" style="1" customWidth="1"/>
    <col min="10" max="10" width="10.734375" style="1" customWidth="1"/>
    <col min="11" max="11" width="9.3125" style="62" customWidth="1"/>
    <col min="12" max="12" width="1.62890625" style="60" customWidth="1"/>
    <col min="13" max="13" width="7.68359375" style="1" customWidth="1"/>
    <col min="14" max="14" width="7.47265625" style="1" customWidth="1"/>
    <col min="15" max="15" width="7.9453125" style="62" customWidth="1"/>
    <col min="16" max="16" width="7.9453125" style="2" customWidth="1"/>
    <col min="17" max="17" width="7.9453125" style="62" customWidth="1"/>
    <col min="18" max="18" width="1.89453125" customWidth="1"/>
    <col min="19" max="19" width="7.20703125" customWidth="1"/>
    <col min="20" max="20" width="7.7890625" customWidth="1"/>
    <col min="21" max="21" width="8.05078125" style="17" customWidth="1"/>
    <col min="22" max="23" width="9.47265625" style="62" customWidth="1"/>
    <col min="24" max="24" width="3" style="17" customWidth="1"/>
    <col min="25" max="25" width="5.47265625" style="9" customWidth="1"/>
    <col min="26" max="26" width="6.83984375" customWidth="1"/>
    <col min="27" max="27" width="6.47265625" customWidth="1"/>
    <col min="29" max="29" width="1.3125" style="59" customWidth="1"/>
    <col min="30" max="30" width="1.26171875" style="59" customWidth="1"/>
    <col min="31" max="31" width="5.7890625" style="59" customWidth="1"/>
    <col min="32" max="34" width="8.83984375" style="59"/>
  </cols>
  <sheetData>
    <row r="1" spans="1:34" ht="33" x14ac:dyDescent="0.6">
      <c r="A1" s="6" t="s">
        <v>0</v>
      </c>
      <c r="B1" s="55" t="s">
        <v>969</v>
      </c>
      <c r="C1" s="14" t="s">
        <v>965</v>
      </c>
      <c r="D1" s="14" t="s">
        <v>966</v>
      </c>
      <c r="E1" s="14" t="s">
        <v>967</v>
      </c>
      <c r="F1" s="14" t="s">
        <v>968</v>
      </c>
      <c r="G1" s="14" t="s">
        <v>1016</v>
      </c>
      <c r="H1" s="23" t="s">
        <v>999</v>
      </c>
      <c r="I1" s="23" t="s">
        <v>1000</v>
      </c>
      <c r="J1" s="23" t="s">
        <v>1001</v>
      </c>
      <c r="K1" s="64" t="s">
        <v>1014</v>
      </c>
      <c r="M1" s="4" t="s">
        <v>987</v>
      </c>
      <c r="N1" s="4" t="s">
        <v>988</v>
      </c>
      <c r="O1" s="64" t="s">
        <v>986</v>
      </c>
      <c r="P1" s="74" t="s">
        <v>1053</v>
      </c>
      <c r="Q1" s="74" t="s">
        <v>1052</v>
      </c>
      <c r="R1" s="4"/>
      <c r="S1" s="70" t="s">
        <v>1068</v>
      </c>
      <c r="T1" s="70" t="s">
        <v>1069</v>
      </c>
      <c r="U1" s="70" t="s">
        <v>1070</v>
      </c>
      <c r="V1" s="70" t="s">
        <v>1071</v>
      </c>
      <c r="W1" s="70" t="s">
        <v>1072</v>
      </c>
      <c r="X1" s="16"/>
      <c r="Y1" s="19" t="s">
        <v>1002</v>
      </c>
      <c r="Z1" s="4" t="s">
        <v>395</v>
      </c>
      <c r="AA1" s="4" t="s">
        <v>396</v>
      </c>
      <c r="AB1" s="4" t="s">
        <v>397</v>
      </c>
      <c r="AC1" s="63"/>
      <c r="AD1" s="63"/>
      <c r="AE1" s="19" t="s">
        <v>1073</v>
      </c>
      <c r="AF1" s="63" t="s">
        <v>395</v>
      </c>
      <c r="AG1" s="63" t="s">
        <v>396</v>
      </c>
      <c r="AH1" s="63" t="s">
        <v>397</v>
      </c>
    </row>
    <row r="2" spans="1:34" x14ac:dyDescent="0.6">
      <c r="A2" s="6" t="s">
        <v>405</v>
      </c>
      <c r="B2" s="24" t="str">
        <f>MID(A2,3,2)</f>
        <v>10</v>
      </c>
      <c r="C2" s="12" t="s">
        <v>971</v>
      </c>
      <c r="D2" s="13" t="s">
        <v>977</v>
      </c>
      <c r="E2" s="13" t="s">
        <v>981</v>
      </c>
      <c r="F2" s="10">
        <v>1</v>
      </c>
      <c r="G2" s="43" t="str">
        <f>B2 &amp; "_" &amp; C2 &amp; "_" &amp; D2 &amp; "_" &amp; E2</f>
        <v>10_10-20_5-10_20-40</v>
      </c>
      <c r="H2">
        <v>193</v>
      </c>
      <c r="I2">
        <v>193</v>
      </c>
      <c r="J2" s="22">
        <v>4.24</v>
      </c>
      <c r="K2" s="66">
        <f>(I2-$H2)/$H2*100</f>
        <v>0</v>
      </c>
      <c r="L2" s="10"/>
      <c r="M2" s="1">
        <v>193</v>
      </c>
      <c r="N2" s="1">
        <v>193</v>
      </c>
      <c r="O2" s="62">
        <v>1.01</v>
      </c>
      <c r="P2" s="66">
        <f>(M2-$H2)/$H2*100</f>
        <v>0</v>
      </c>
      <c r="Q2" s="66">
        <f>(N2-$H2)/$H2*100</f>
        <v>0</v>
      </c>
      <c r="S2">
        <v>193</v>
      </c>
      <c r="T2">
        <v>193.6</v>
      </c>
      <c r="U2" s="17">
        <v>3.4443041600000002</v>
      </c>
      <c r="V2" s="66">
        <f>(S2-$H2)/$H2*100</f>
        <v>0</v>
      </c>
      <c r="W2" s="66">
        <f>(T2-$H2)/$H2*100</f>
        <v>0.31088082901554109</v>
      </c>
      <c r="Z2" s="4">
        <f>IF($M2&lt;$I2,1,0)</f>
        <v>0</v>
      </c>
      <c r="AA2" s="4">
        <f>IF($M2=$I2,1,0)</f>
        <v>1</v>
      </c>
      <c r="AB2" s="4">
        <f>IF($M2&gt;$I2,1,0)</f>
        <v>0</v>
      </c>
      <c r="AC2" s="63"/>
      <c r="AD2" s="63"/>
      <c r="AF2" s="63">
        <f>IF($M2&lt;$S2,1,0)</f>
        <v>0</v>
      </c>
      <c r="AG2" s="63">
        <f>IF($M2=$S2,1,0)</f>
        <v>1</v>
      </c>
      <c r="AH2" s="63">
        <f>IF($M2&gt;$S2,1,0)</f>
        <v>0</v>
      </c>
    </row>
    <row r="3" spans="1:34" x14ac:dyDescent="0.6">
      <c r="A3" s="6" t="s">
        <v>406</v>
      </c>
      <c r="B3" s="24">
        <v>10</v>
      </c>
      <c r="C3" s="12" t="s">
        <v>971</v>
      </c>
      <c r="D3" s="13" t="s">
        <v>977</v>
      </c>
      <c r="E3" s="13" t="s">
        <v>981</v>
      </c>
      <c r="F3" s="10">
        <v>2</v>
      </c>
      <c r="G3" s="43" t="str">
        <f t="shared" ref="G3:G66" si="0">B3 &amp; "_" &amp; C3 &amp; "_" &amp; D3 &amp; "_" &amp; E3</f>
        <v>10_10-20_5-10_20-40</v>
      </c>
      <c r="H3">
        <v>188</v>
      </c>
      <c r="I3">
        <v>188</v>
      </c>
      <c r="J3" s="22">
        <v>4.49</v>
      </c>
      <c r="K3" s="66">
        <f t="shared" ref="K3:K66" si="1">(I3-$H3)/$H3*100</f>
        <v>0</v>
      </c>
      <c r="L3" s="10"/>
      <c r="M3" s="1">
        <v>188</v>
      </c>
      <c r="N3" s="1">
        <v>188</v>
      </c>
      <c r="O3" s="62">
        <v>1</v>
      </c>
      <c r="P3" s="66">
        <f t="shared" ref="P3:P66" si="2">(M3-$H3)/$H3*100</f>
        <v>0</v>
      </c>
      <c r="Q3" s="66">
        <f t="shared" ref="Q3:Q66" si="3">(N3-$H3)/$H3*100</f>
        <v>0</v>
      </c>
      <c r="S3">
        <v>188</v>
      </c>
      <c r="T3">
        <v>190</v>
      </c>
      <c r="U3" s="17">
        <v>3.4558971999999999</v>
      </c>
      <c r="V3" s="66">
        <f t="shared" ref="V3:V66" si="4">(S3-$H3)/$H3*100</f>
        <v>0</v>
      </c>
      <c r="W3" s="66">
        <f t="shared" ref="W3:W66" si="5">(T3-$H3)/$H3*100</f>
        <v>1.0638297872340425</v>
      </c>
      <c r="Z3" s="4">
        <f t="shared" ref="Z3:Z66" si="6">IF($M3&lt;$I3,1,0)</f>
        <v>0</v>
      </c>
      <c r="AA3" s="4">
        <f t="shared" ref="AA3:AA66" si="7">IF($M3=$I3,1,0)</f>
        <v>1</v>
      </c>
      <c r="AB3" s="4">
        <f t="shared" ref="AB3:AB66" si="8">IF($M3&gt;$I3,1,0)</f>
        <v>0</v>
      </c>
      <c r="AC3" s="63"/>
      <c r="AD3" s="63"/>
      <c r="AF3" s="63">
        <f>IF($M3&lt;$S3,1,0)</f>
        <v>0</v>
      </c>
      <c r="AG3" s="63">
        <f>IF($M3=$S3,1,0)</f>
        <v>1</v>
      </c>
      <c r="AH3" s="63">
        <f>IF($M3&gt;$S3,1,0)</f>
        <v>0</v>
      </c>
    </row>
    <row r="4" spans="1:34" x14ac:dyDescent="0.6">
      <c r="A4" s="6" t="s">
        <v>407</v>
      </c>
      <c r="B4" s="24">
        <v>10</v>
      </c>
      <c r="C4" s="12" t="s">
        <v>970</v>
      </c>
      <c r="D4" s="13" t="s">
        <v>976</v>
      </c>
      <c r="E4" s="13" t="s">
        <v>980</v>
      </c>
      <c r="F4" s="10">
        <v>3</v>
      </c>
      <c r="G4" s="43" t="str">
        <f t="shared" si="0"/>
        <v>10_10-20_5-10_20-40</v>
      </c>
      <c r="H4">
        <v>190</v>
      </c>
      <c r="I4">
        <v>190</v>
      </c>
      <c r="J4" s="22">
        <v>5.44</v>
      </c>
      <c r="K4" s="66">
        <f t="shared" si="1"/>
        <v>0</v>
      </c>
      <c r="L4" s="10"/>
      <c r="M4" s="1">
        <v>190</v>
      </c>
      <c r="N4" s="1">
        <v>190</v>
      </c>
      <c r="O4" s="62">
        <v>1</v>
      </c>
      <c r="P4" s="66">
        <f t="shared" si="2"/>
        <v>0</v>
      </c>
      <c r="Q4" s="66">
        <f t="shared" si="3"/>
        <v>0</v>
      </c>
      <c r="S4">
        <v>190</v>
      </c>
      <c r="T4">
        <v>191.4</v>
      </c>
      <c r="U4" s="17">
        <v>3.3329339999999998</v>
      </c>
      <c r="V4" s="66">
        <f t="shared" si="4"/>
        <v>0</v>
      </c>
      <c r="W4" s="66">
        <f t="shared" si="5"/>
        <v>0.73684210526316096</v>
      </c>
      <c r="Z4" s="4">
        <f t="shared" si="6"/>
        <v>0</v>
      </c>
      <c r="AA4" s="4">
        <f t="shared" si="7"/>
        <v>1</v>
      </c>
      <c r="AB4" s="4">
        <f t="shared" si="8"/>
        <v>0</v>
      </c>
      <c r="AC4" s="63"/>
      <c r="AD4" s="63"/>
      <c r="AF4" s="63">
        <f>IF($M4&lt;$S4,1,0)</f>
        <v>0</v>
      </c>
      <c r="AG4" s="63">
        <f>IF($M4=$S4,1,0)</f>
        <v>1</v>
      </c>
      <c r="AH4" s="63">
        <f>IF($M4&gt;$S4,1,0)</f>
        <v>0</v>
      </c>
    </row>
    <row r="5" spans="1:34" x14ac:dyDescent="0.6">
      <c r="A5" s="6" t="s">
        <v>408</v>
      </c>
      <c r="B5" s="24">
        <v>10</v>
      </c>
      <c r="C5" s="12" t="s">
        <v>970</v>
      </c>
      <c r="D5" s="13" t="s">
        <v>976</v>
      </c>
      <c r="E5" s="13" t="s">
        <v>980</v>
      </c>
      <c r="F5" s="10">
        <v>4</v>
      </c>
      <c r="G5" s="43" t="str">
        <f t="shared" si="0"/>
        <v>10_10-20_5-10_20-40</v>
      </c>
      <c r="H5">
        <v>196</v>
      </c>
      <c r="I5">
        <v>196</v>
      </c>
      <c r="J5" s="22">
        <v>3.68</v>
      </c>
      <c r="K5" s="66">
        <f t="shared" si="1"/>
        <v>0</v>
      </c>
      <c r="L5" s="10"/>
      <c r="M5" s="1">
        <v>196</v>
      </c>
      <c r="N5" s="1">
        <v>196</v>
      </c>
      <c r="O5" s="62">
        <v>1</v>
      </c>
      <c r="P5" s="66">
        <f t="shared" si="2"/>
        <v>0</v>
      </c>
      <c r="Q5" s="66">
        <f t="shared" si="3"/>
        <v>0</v>
      </c>
      <c r="S5">
        <v>196</v>
      </c>
      <c r="T5">
        <v>196</v>
      </c>
      <c r="U5" s="17">
        <v>3.3089968600000002</v>
      </c>
      <c r="V5" s="66">
        <f t="shared" si="4"/>
        <v>0</v>
      </c>
      <c r="W5" s="66">
        <f t="shared" si="5"/>
        <v>0</v>
      </c>
      <c r="Z5" s="4">
        <f t="shared" si="6"/>
        <v>0</v>
      </c>
      <c r="AA5" s="4">
        <f t="shared" si="7"/>
        <v>1</v>
      </c>
      <c r="AB5" s="4">
        <f t="shared" si="8"/>
        <v>0</v>
      </c>
      <c r="AC5" s="63"/>
      <c r="AD5" s="63"/>
      <c r="AF5" s="63">
        <f>IF($M5&lt;$S5,1,0)</f>
        <v>0</v>
      </c>
      <c r="AG5" s="63">
        <f>IF($M5=$S5,1,0)</f>
        <v>1</v>
      </c>
      <c r="AH5" s="63">
        <f>IF($M5&gt;$S5,1,0)</f>
        <v>0</v>
      </c>
    </row>
    <row r="6" spans="1:34" x14ac:dyDescent="0.6">
      <c r="A6" s="6" t="s">
        <v>409</v>
      </c>
      <c r="B6" s="24">
        <v>10</v>
      </c>
      <c r="C6" s="12" t="s">
        <v>970</v>
      </c>
      <c r="D6" s="13" t="s">
        <v>976</v>
      </c>
      <c r="E6" s="13" t="s">
        <v>980</v>
      </c>
      <c r="F6" s="10">
        <v>5</v>
      </c>
      <c r="G6" s="43" t="str">
        <f t="shared" si="0"/>
        <v>10_10-20_5-10_20-40</v>
      </c>
      <c r="H6">
        <v>201</v>
      </c>
      <c r="I6">
        <v>201</v>
      </c>
      <c r="J6" s="22">
        <v>1.18</v>
      </c>
      <c r="K6" s="66">
        <f t="shared" si="1"/>
        <v>0</v>
      </c>
      <c r="L6" s="10"/>
      <c r="M6" s="1">
        <v>201</v>
      </c>
      <c r="N6" s="1">
        <v>201</v>
      </c>
      <c r="O6" s="62">
        <v>1</v>
      </c>
      <c r="P6" s="66">
        <f t="shared" si="2"/>
        <v>0</v>
      </c>
      <c r="Q6" s="66">
        <f t="shared" si="3"/>
        <v>0</v>
      </c>
      <c r="S6">
        <v>201</v>
      </c>
      <c r="T6">
        <v>201</v>
      </c>
      <c r="U6" s="17">
        <v>3.7100511599999999</v>
      </c>
      <c r="V6" s="66">
        <f t="shared" si="4"/>
        <v>0</v>
      </c>
      <c r="W6" s="66">
        <f t="shared" si="5"/>
        <v>0</v>
      </c>
      <c r="Z6" s="4">
        <f t="shared" si="6"/>
        <v>0</v>
      </c>
      <c r="AA6" s="4">
        <f t="shared" si="7"/>
        <v>1</v>
      </c>
      <c r="AB6" s="4">
        <f t="shared" si="8"/>
        <v>0</v>
      </c>
      <c r="AC6" s="63"/>
      <c r="AD6" s="63"/>
      <c r="AF6" s="63">
        <f>IF($M6&lt;$S6,1,0)</f>
        <v>0</v>
      </c>
      <c r="AG6" s="63">
        <f>IF($M6=$S6,1,0)</f>
        <v>1</v>
      </c>
      <c r="AH6" s="63">
        <f>IF($M6&gt;$S6,1,0)</f>
        <v>0</v>
      </c>
    </row>
    <row r="7" spans="1:34" x14ac:dyDescent="0.6">
      <c r="A7" s="6" t="s">
        <v>410</v>
      </c>
      <c r="B7" s="24">
        <v>10</v>
      </c>
      <c r="C7" s="12" t="s">
        <v>970</v>
      </c>
      <c r="D7" s="13" t="s">
        <v>976</v>
      </c>
      <c r="E7" s="13" t="s">
        <v>980</v>
      </c>
      <c r="F7" s="10">
        <v>6</v>
      </c>
      <c r="G7" s="43" t="str">
        <f t="shared" si="0"/>
        <v>10_10-20_5-10_20-40</v>
      </c>
      <c r="H7">
        <v>223</v>
      </c>
      <c r="I7">
        <v>223</v>
      </c>
      <c r="J7" s="22">
        <v>1.03</v>
      </c>
      <c r="K7" s="66">
        <f t="shared" si="1"/>
        <v>0</v>
      </c>
      <c r="L7" s="10"/>
      <c r="M7" s="1">
        <v>223</v>
      </c>
      <c r="N7" s="1">
        <v>223</v>
      </c>
      <c r="O7" s="62">
        <v>1</v>
      </c>
      <c r="P7" s="66">
        <f t="shared" si="2"/>
        <v>0</v>
      </c>
      <c r="Q7" s="66">
        <f t="shared" si="3"/>
        <v>0</v>
      </c>
      <c r="S7">
        <v>223</v>
      </c>
      <c r="T7">
        <v>223</v>
      </c>
      <c r="U7" s="17">
        <v>3.7003084799999999</v>
      </c>
      <c r="V7" s="66">
        <f t="shared" si="4"/>
        <v>0</v>
      </c>
      <c r="W7" s="66">
        <f t="shared" si="5"/>
        <v>0</v>
      </c>
      <c r="Z7" s="4">
        <f t="shared" si="6"/>
        <v>0</v>
      </c>
      <c r="AA7" s="4">
        <f t="shared" si="7"/>
        <v>1</v>
      </c>
      <c r="AB7" s="4">
        <f t="shared" si="8"/>
        <v>0</v>
      </c>
      <c r="AC7" s="63"/>
      <c r="AD7" s="63"/>
      <c r="AF7" s="63">
        <f>IF($M7&lt;$S7,1,0)</f>
        <v>0</v>
      </c>
      <c r="AG7" s="63">
        <f>IF($M7=$S7,1,0)</f>
        <v>1</v>
      </c>
      <c r="AH7" s="63">
        <f>IF($M7&gt;$S7,1,0)</f>
        <v>0</v>
      </c>
    </row>
    <row r="8" spans="1:34" x14ac:dyDescent="0.6">
      <c r="A8" s="6" t="s">
        <v>411</v>
      </c>
      <c r="B8" s="24">
        <v>10</v>
      </c>
      <c r="C8" s="12" t="s">
        <v>970</v>
      </c>
      <c r="D8" s="13" t="s">
        <v>976</v>
      </c>
      <c r="E8" s="13" t="s">
        <v>980</v>
      </c>
      <c r="F8" s="10">
        <v>7</v>
      </c>
      <c r="G8" s="43" t="str">
        <f t="shared" si="0"/>
        <v>10_10-20_5-10_20-40</v>
      </c>
      <c r="H8">
        <v>198</v>
      </c>
      <c r="I8">
        <v>198</v>
      </c>
      <c r="J8" s="22">
        <v>3.91</v>
      </c>
      <c r="K8" s="66">
        <f t="shared" si="1"/>
        <v>0</v>
      </c>
      <c r="L8" s="10"/>
      <c r="M8" s="1">
        <v>198</v>
      </c>
      <c r="N8" s="1">
        <v>198</v>
      </c>
      <c r="O8" s="62">
        <v>1</v>
      </c>
      <c r="P8" s="66">
        <f t="shared" si="2"/>
        <v>0</v>
      </c>
      <c r="Q8" s="66">
        <f t="shared" si="3"/>
        <v>0</v>
      </c>
      <c r="S8">
        <v>200</v>
      </c>
      <c r="T8">
        <v>201.8</v>
      </c>
      <c r="U8" s="17">
        <v>3.26267504</v>
      </c>
      <c r="V8" s="66">
        <f t="shared" si="4"/>
        <v>1.0101010101010102</v>
      </c>
      <c r="W8" s="66">
        <f t="shared" si="5"/>
        <v>1.9191919191919249</v>
      </c>
      <c r="Z8" s="4">
        <f t="shared" si="6"/>
        <v>0</v>
      </c>
      <c r="AA8" s="4">
        <f t="shared" si="7"/>
        <v>1</v>
      </c>
      <c r="AB8" s="4">
        <f t="shared" si="8"/>
        <v>0</v>
      </c>
      <c r="AC8" s="63"/>
      <c r="AD8" s="63"/>
      <c r="AF8" s="63">
        <f>IF($M8&lt;$S8,1,0)</f>
        <v>1</v>
      </c>
      <c r="AG8" s="63">
        <f>IF($M8=$S8,1,0)</f>
        <v>0</v>
      </c>
      <c r="AH8" s="63">
        <f>IF($M8&gt;$S8,1,0)</f>
        <v>0</v>
      </c>
    </row>
    <row r="9" spans="1:34" x14ac:dyDescent="0.6">
      <c r="A9" s="6" t="s">
        <v>412</v>
      </c>
      <c r="B9" s="24">
        <v>10</v>
      </c>
      <c r="C9" s="12" t="s">
        <v>970</v>
      </c>
      <c r="D9" s="13" t="s">
        <v>976</v>
      </c>
      <c r="E9" s="13" t="s">
        <v>980</v>
      </c>
      <c r="F9" s="10">
        <v>8</v>
      </c>
      <c r="G9" s="43" t="str">
        <f t="shared" si="0"/>
        <v>10_10-20_5-10_20-40</v>
      </c>
      <c r="H9">
        <v>195</v>
      </c>
      <c r="I9">
        <v>195</v>
      </c>
      <c r="J9" s="22">
        <v>6.33</v>
      </c>
      <c r="K9" s="66">
        <f t="shared" si="1"/>
        <v>0</v>
      </c>
      <c r="L9" s="10"/>
      <c r="M9" s="1">
        <v>195</v>
      </c>
      <c r="N9" s="1">
        <v>195</v>
      </c>
      <c r="O9" s="62">
        <v>1</v>
      </c>
      <c r="P9" s="66">
        <f t="shared" si="2"/>
        <v>0</v>
      </c>
      <c r="Q9" s="66">
        <f t="shared" si="3"/>
        <v>0</v>
      </c>
      <c r="S9">
        <v>195</v>
      </c>
      <c r="T9">
        <v>195.6</v>
      </c>
      <c r="U9" s="17">
        <v>3.4838775399999999</v>
      </c>
      <c r="V9" s="66">
        <f t="shared" si="4"/>
        <v>0</v>
      </c>
      <c r="W9" s="66">
        <f t="shared" si="5"/>
        <v>0.30769230769230477</v>
      </c>
      <c r="Z9" s="4">
        <f t="shared" si="6"/>
        <v>0</v>
      </c>
      <c r="AA9" s="4">
        <f t="shared" si="7"/>
        <v>1</v>
      </c>
      <c r="AB9" s="4">
        <f t="shared" si="8"/>
        <v>0</v>
      </c>
      <c r="AC9" s="63"/>
      <c r="AD9" s="63"/>
      <c r="AF9" s="63">
        <f>IF($M9&lt;$S9,1,0)</f>
        <v>0</v>
      </c>
      <c r="AG9" s="63">
        <f>IF($M9=$S9,1,0)</f>
        <v>1</v>
      </c>
      <c r="AH9" s="63">
        <f>IF($M9&gt;$S9,1,0)</f>
        <v>0</v>
      </c>
    </row>
    <row r="10" spans="1:34" x14ac:dyDescent="0.6">
      <c r="A10" s="6" t="s">
        <v>413</v>
      </c>
      <c r="B10" s="24">
        <v>10</v>
      </c>
      <c r="C10" s="12" t="s">
        <v>970</v>
      </c>
      <c r="D10" s="13" t="s">
        <v>976</v>
      </c>
      <c r="E10" s="13" t="s">
        <v>980</v>
      </c>
      <c r="F10" s="10">
        <v>9</v>
      </c>
      <c r="G10" s="43" t="str">
        <f t="shared" si="0"/>
        <v>10_10-20_5-10_20-40</v>
      </c>
      <c r="H10">
        <v>190</v>
      </c>
      <c r="I10">
        <v>190</v>
      </c>
      <c r="J10" s="22">
        <v>4.4400000000000004</v>
      </c>
      <c r="K10" s="66">
        <f t="shared" si="1"/>
        <v>0</v>
      </c>
      <c r="L10" s="10"/>
      <c r="M10" s="1">
        <v>190</v>
      </c>
      <c r="N10" s="1">
        <v>190</v>
      </c>
      <c r="O10" s="62">
        <v>1</v>
      </c>
      <c r="P10" s="66">
        <f t="shared" si="2"/>
        <v>0</v>
      </c>
      <c r="Q10" s="66">
        <f t="shared" si="3"/>
        <v>0</v>
      </c>
      <c r="S10">
        <v>190</v>
      </c>
      <c r="T10">
        <v>192</v>
      </c>
      <c r="U10" s="17">
        <v>3.2821713400000001</v>
      </c>
      <c r="V10" s="66">
        <f t="shared" si="4"/>
        <v>0</v>
      </c>
      <c r="W10" s="66">
        <f t="shared" si="5"/>
        <v>1.0526315789473684</v>
      </c>
      <c r="Z10" s="4">
        <f t="shared" si="6"/>
        <v>0</v>
      </c>
      <c r="AA10" s="4">
        <f t="shared" si="7"/>
        <v>1</v>
      </c>
      <c r="AB10" s="4">
        <f t="shared" si="8"/>
        <v>0</v>
      </c>
      <c r="AC10" s="63"/>
      <c r="AD10" s="63"/>
      <c r="AF10" s="63">
        <f>IF($M10&lt;$S10,1,0)</f>
        <v>0</v>
      </c>
      <c r="AG10" s="63">
        <f>IF($M10=$S10,1,0)</f>
        <v>1</v>
      </c>
      <c r="AH10" s="63">
        <f>IF($M10&gt;$S10,1,0)</f>
        <v>0</v>
      </c>
    </row>
    <row r="11" spans="1:34" x14ac:dyDescent="0.6">
      <c r="A11" s="6" t="s">
        <v>414</v>
      </c>
      <c r="B11" s="24">
        <v>10</v>
      </c>
      <c r="C11" s="12" t="s">
        <v>970</v>
      </c>
      <c r="D11" s="13" t="s">
        <v>976</v>
      </c>
      <c r="E11" s="13" t="s">
        <v>980</v>
      </c>
      <c r="F11" s="10">
        <v>10</v>
      </c>
      <c r="G11" s="43" t="str">
        <f t="shared" si="0"/>
        <v>10_10-20_5-10_20-40</v>
      </c>
      <c r="H11">
        <v>209</v>
      </c>
      <c r="I11">
        <v>209</v>
      </c>
      <c r="J11" s="22">
        <v>2.85</v>
      </c>
      <c r="K11" s="66">
        <f t="shared" si="1"/>
        <v>0</v>
      </c>
      <c r="L11" s="10"/>
      <c r="M11" s="1">
        <v>209</v>
      </c>
      <c r="N11" s="1">
        <v>209</v>
      </c>
      <c r="O11" s="62">
        <v>1.01</v>
      </c>
      <c r="P11" s="66">
        <f t="shared" si="2"/>
        <v>0</v>
      </c>
      <c r="Q11" s="66">
        <f t="shared" si="3"/>
        <v>0</v>
      </c>
      <c r="S11">
        <v>210</v>
      </c>
      <c r="T11">
        <v>210.6</v>
      </c>
      <c r="U11" s="17">
        <v>3.6597539800000001</v>
      </c>
      <c r="V11" s="66">
        <f t="shared" si="4"/>
        <v>0.4784688995215311</v>
      </c>
      <c r="W11" s="66">
        <f t="shared" si="5"/>
        <v>0.76555023923444698</v>
      </c>
      <c r="Z11" s="4">
        <f t="shared" si="6"/>
        <v>0</v>
      </c>
      <c r="AA11" s="4">
        <f t="shared" si="7"/>
        <v>1</v>
      </c>
      <c r="AB11" s="4">
        <f t="shared" si="8"/>
        <v>0</v>
      </c>
      <c r="AC11" s="63"/>
      <c r="AD11" s="63"/>
      <c r="AF11" s="63">
        <f>IF($M11&lt;$S11,1,0)</f>
        <v>1</v>
      </c>
      <c r="AG11" s="63">
        <f>IF($M11=$S11,1,0)</f>
        <v>0</v>
      </c>
      <c r="AH11" s="63">
        <f>IF($M11&gt;$S11,1,0)</f>
        <v>0</v>
      </c>
    </row>
    <row r="12" spans="1:34" x14ac:dyDescent="0.6">
      <c r="A12" s="6" t="s">
        <v>415</v>
      </c>
      <c r="B12" s="24">
        <v>10</v>
      </c>
      <c r="C12" s="12" t="s">
        <v>970</v>
      </c>
      <c r="D12" s="13" t="s">
        <v>976</v>
      </c>
      <c r="E12" s="13" t="s">
        <v>984</v>
      </c>
      <c r="F12" s="10">
        <v>1</v>
      </c>
      <c r="G12" s="43" t="str">
        <f t="shared" si="0"/>
        <v>10_10-20_5-10_40-60</v>
      </c>
      <c r="H12">
        <v>193</v>
      </c>
      <c r="I12">
        <v>193</v>
      </c>
      <c r="J12" s="22">
        <v>3.58</v>
      </c>
      <c r="K12" s="66">
        <f t="shared" si="1"/>
        <v>0</v>
      </c>
      <c r="L12" s="10"/>
      <c r="M12" s="1">
        <v>193</v>
      </c>
      <c r="N12" s="1">
        <v>193</v>
      </c>
      <c r="O12" s="62">
        <v>1.01</v>
      </c>
      <c r="P12" s="66">
        <f t="shared" si="2"/>
        <v>0</v>
      </c>
      <c r="Q12" s="66">
        <f t="shared" si="3"/>
        <v>0</v>
      </c>
      <c r="S12">
        <v>194</v>
      </c>
      <c r="T12">
        <v>195.4</v>
      </c>
      <c r="U12" s="17">
        <v>3.3688740199999998</v>
      </c>
      <c r="V12" s="66">
        <f t="shared" si="4"/>
        <v>0.5181347150259068</v>
      </c>
      <c r="W12" s="66">
        <f t="shared" si="5"/>
        <v>1.243523316062179</v>
      </c>
      <c r="Z12" s="4">
        <f t="shared" si="6"/>
        <v>0</v>
      </c>
      <c r="AA12" s="4">
        <f t="shared" si="7"/>
        <v>1</v>
      </c>
      <c r="AB12" s="4">
        <f t="shared" si="8"/>
        <v>0</v>
      </c>
      <c r="AC12" s="63"/>
      <c r="AD12" s="63"/>
      <c r="AF12" s="63">
        <f>IF($M12&lt;$S12,1,0)</f>
        <v>1</v>
      </c>
      <c r="AG12" s="63">
        <f>IF($M12=$S12,1,0)</f>
        <v>0</v>
      </c>
      <c r="AH12" s="63">
        <f>IF($M12&gt;$S12,1,0)</f>
        <v>0</v>
      </c>
    </row>
    <row r="13" spans="1:34" x14ac:dyDescent="0.6">
      <c r="A13" s="6" t="s">
        <v>416</v>
      </c>
      <c r="B13" s="24">
        <v>10</v>
      </c>
      <c r="C13" s="12" t="s">
        <v>970</v>
      </c>
      <c r="D13" s="13" t="s">
        <v>976</v>
      </c>
      <c r="E13" s="13" t="s">
        <v>984</v>
      </c>
      <c r="F13" s="10">
        <v>2</v>
      </c>
      <c r="G13" s="43" t="str">
        <f t="shared" si="0"/>
        <v>10_10-20_5-10_40-60</v>
      </c>
      <c r="H13">
        <v>192</v>
      </c>
      <c r="I13">
        <v>192</v>
      </c>
      <c r="J13" s="22">
        <v>3.13</v>
      </c>
      <c r="K13" s="66">
        <f t="shared" si="1"/>
        <v>0</v>
      </c>
      <c r="L13" s="10"/>
      <c r="M13" s="1">
        <v>192</v>
      </c>
      <c r="N13" s="1">
        <v>192</v>
      </c>
      <c r="O13" s="62">
        <v>1.01</v>
      </c>
      <c r="P13" s="66">
        <f t="shared" si="2"/>
        <v>0</v>
      </c>
      <c r="Q13" s="66">
        <f t="shared" si="3"/>
        <v>0</v>
      </c>
      <c r="S13">
        <v>192</v>
      </c>
      <c r="T13">
        <v>193.4</v>
      </c>
      <c r="U13" s="17">
        <v>3.3903634600000001</v>
      </c>
      <c r="V13" s="66">
        <f t="shared" si="4"/>
        <v>0</v>
      </c>
      <c r="W13" s="66">
        <f t="shared" si="5"/>
        <v>0.72916666666666963</v>
      </c>
      <c r="Z13" s="4">
        <f t="shared" si="6"/>
        <v>0</v>
      </c>
      <c r="AA13" s="4">
        <f t="shared" si="7"/>
        <v>1</v>
      </c>
      <c r="AB13" s="4">
        <f t="shared" si="8"/>
        <v>0</v>
      </c>
      <c r="AC13" s="63"/>
      <c r="AD13" s="63"/>
      <c r="AF13" s="63">
        <f>IF($M13&lt;$S13,1,0)</f>
        <v>0</v>
      </c>
      <c r="AG13" s="63">
        <f>IF($M13=$S13,1,0)</f>
        <v>1</v>
      </c>
      <c r="AH13" s="63">
        <f>IF($M13&gt;$S13,1,0)</f>
        <v>0</v>
      </c>
    </row>
    <row r="14" spans="1:34" x14ac:dyDescent="0.6">
      <c r="A14" s="6" t="s">
        <v>417</v>
      </c>
      <c r="B14" s="24">
        <v>10</v>
      </c>
      <c r="C14" s="12" t="s">
        <v>970</v>
      </c>
      <c r="D14" s="13" t="s">
        <v>976</v>
      </c>
      <c r="E14" s="13" t="s">
        <v>982</v>
      </c>
      <c r="F14" s="10">
        <v>3</v>
      </c>
      <c r="G14" s="43" t="str">
        <f t="shared" si="0"/>
        <v>10_10-20_5-10_40-60</v>
      </c>
      <c r="H14">
        <v>190</v>
      </c>
      <c r="I14">
        <v>190</v>
      </c>
      <c r="J14" s="22">
        <v>4.43</v>
      </c>
      <c r="K14" s="66">
        <f t="shared" si="1"/>
        <v>0</v>
      </c>
      <c r="L14" s="10"/>
      <c r="M14" s="1">
        <v>190</v>
      </c>
      <c r="N14" s="1">
        <v>190</v>
      </c>
      <c r="O14" s="62">
        <v>1.01</v>
      </c>
      <c r="P14" s="66">
        <f t="shared" si="2"/>
        <v>0</v>
      </c>
      <c r="Q14" s="66">
        <f t="shared" si="3"/>
        <v>0</v>
      </c>
      <c r="S14">
        <v>190</v>
      </c>
      <c r="T14">
        <v>192</v>
      </c>
      <c r="U14" s="17">
        <v>3.33215766</v>
      </c>
      <c r="V14" s="66">
        <f t="shared" si="4"/>
        <v>0</v>
      </c>
      <c r="W14" s="66">
        <f t="shared" si="5"/>
        <v>1.0526315789473684</v>
      </c>
      <c r="Z14" s="4">
        <f t="shared" si="6"/>
        <v>0</v>
      </c>
      <c r="AA14" s="4">
        <f t="shared" si="7"/>
        <v>1</v>
      </c>
      <c r="AB14" s="4">
        <f t="shared" si="8"/>
        <v>0</v>
      </c>
      <c r="AC14" s="63"/>
      <c r="AD14" s="63"/>
      <c r="AF14" s="63">
        <f>IF($M14&lt;$S14,1,0)</f>
        <v>0</v>
      </c>
      <c r="AG14" s="63">
        <f>IF($M14=$S14,1,0)</f>
        <v>1</v>
      </c>
      <c r="AH14" s="63">
        <f>IF($M14&gt;$S14,1,0)</f>
        <v>0</v>
      </c>
    </row>
    <row r="15" spans="1:34" x14ac:dyDescent="0.6">
      <c r="A15" s="6" t="s">
        <v>418</v>
      </c>
      <c r="B15" s="24">
        <v>10</v>
      </c>
      <c r="C15" s="12" t="s">
        <v>970</v>
      </c>
      <c r="D15" s="13" t="s">
        <v>976</v>
      </c>
      <c r="E15" s="13" t="s">
        <v>982</v>
      </c>
      <c r="F15" s="10">
        <v>4</v>
      </c>
      <c r="G15" s="43" t="str">
        <f t="shared" si="0"/>
        <v>10_10-20_5-10_40-60</v>
      </c>
      <c r="H15">
        <v>197</v>
      </c>
      <c r="I15">
        <v>197</v>
      </c>
      <c r="J15" s="22">
        <v>5.52</v>
      </c>
      <c r="K15" s="66">
        <f t="shared" si="1"/>
        <v>0</v>
      </c>
      <c r="L15" s="10"/>
      <c r="M15" s="1">
        <v>197</v>
      </c>
      <c r="N15" s="1">
        <v>197</v>
      </c>
      <c r="O15" s="62">
        <v>1.01</v>
      </c>
      <c r="P15" s="66">
        <f t="shared" si="2"/>
        <v>0</v>
      </c>
      <c r="Q15" s="66">
        <f t="shared" si="3"/>
        <v>0</v>
      </c>
      <c r="S15">
        <v>199</v>
      </c>
      <c r="T15">
        <v>201.6</v>
      </c>
      <c r="U15" s="17">
        <v>3.46375068</v>
      </c>
      <c r="V15" s="66">
        <f t="shared" si="4"/>
        <v>1.015228426395939</v>
      </c>
      <c r="W15" s="66">
        <f t="shared" si="5"/>
        <v>2.3350253807106571</v>
      </c>
      <c r="Z15" s="4">
        <f t="shared" si="6"/>
        <v>0</v>
      </c>
      <c r="AA15" s="4">
        <f t="shared" si="7"/>
        <v>1</v>
      </c>
      <c r="AB15" s="4">
        <f t="shared" si="8"/>
        <v>0</v>
      </c>
      <c r="AC15" s="63"/>
      <c r="AD15" s="63"/>
      <c r="AF15" s="63">
        <f>IF($M15&lt;$S15,1,0)</f>
        <v>1</v>
      </c>
      <c r="AG15" s="63">
        <f>IF($M15=$S15,1,0)</f>
        <v>0</v>
      </c>
      <c r="AH15" s="63">
        <f>IF($M15&gt;$S15,1,0)</f>
        <v>0</v>
      </c>
    </row>
    <row r="16" spans="1:34" x14ac:dyDescent="0.6">
      <c r="A16" s="6" t="s">
        <v>419</v>
      </c>
      <c r="B16" s="24">
        <v>10</v>
      </c>
      <c r="C16" s="12" t="s">
        <v>970</v>
      </c>
      <c r="D16" s="13" t="s">
        <v>976</v>
      </c>
      <c r="E16" s="13" t="s">
        <v>982</v>
      </c>
      <c r="F16" s="10">
        <v>5</v>
      </c>
      <c r="G16" s="43" t="str">
        <f t="shared" si="0"/>
        <v>10_10-20_5-10_40-60</v>
      </c>
      <c r="H16">
        <v>254</v>
      </c>
      <c r="I16">
        <v>254</v>
      </c>
      <c r="J16" s="22">
        <v>0.27</v>
      </c>
      <c r="K16" s="66">
        <f t="shared" si="1"/>
        <v>0</v>
      </c>
      <c r="L16" s="10"/>
      <c r="M16" s="1">
        <v>254</v>
      </c>
      <c r="N16" s="1">
        <v>254</v>
      </c>
      <c r="O16" s="62">
        <v>1.01</v>
      </c>
      <c r="P16" s="66">
        <f t="shared" si="2"/>
        <v>0</v>
      </c>
      <c r="Q16" s="66">
        <f t="shared" si="3"/>
        <v>0</v>
      </c>
      <c r="S16">
        <v>254</v>
      </c>
      <c r="T16">
        <v>254</v>
      </c>
      <c r="U16" s="17">
        <v>3.84746502</v>
      </c>
      <c r="V16" s="66">
        <f t="shared" si="4"/>
        <v>0</v>
      </c>
      <c r="W16" s="66">
        <f t="shared" si="5"/>
        <v>0</v>
      </c>
      <c r="Z16" s="4">
        <f t="shared" si="6"/>
        <v>0</v>
      </c>
      <c r="AA16" s="4">
        <f t="shared" si="7"/>
        <v>1</v>
      </c>
      <c r="AB16" s="4">
        <f t="shared" si="8"/>
        <v>0</v>
      </c>
      <c r="AC16" s="63"/>
      <c r="AD16" s="63"/>
      <c r="AF16" s="63">
        <f>IF($M16&lt;$S16,1,0)</f>
        <v>0</v>
      </c>
      <c r="AG16" s="63">
        <f>IF($M16=$S16,1,0)</f>
        <v>1</v>
      </c>
      <c r="AH16" s="63">
        <f>IF($M16&gt;$S16,1,0)</f>
        <v>0</v>
      </c>
    </row>
    <row r="17" spans="1:34" x14ac:dyDescent="0.6">
      <c r="A17" s="6" t="s">
        <v>420</v>
      </c>
      <c r="B17" s="24">
        <v>10</v>
      </c>
      <c r="C17" s="12" t="s">
        <v>970</v>
      </c>
      <c r="D17" s="13" t="s">
        <v>976</v>
      </c>
      <c r="E17" s="13" t="s">
        <v>982</v>
      </c>
      <c r="F17" s="10">
        <v>6</v>
      </c>
      <c r="G17" s="43" t="str">
        <f t="shared" si="0"/>
        <v>10_10-20_5-10_40-60</v>
      </c>
      <c r="H17">
        <v>267</v>
      </c>
      <c r="I17">
        <v>267</v>
      </c>
      <c r="J17" s="22">
        <v>0.24</v>
      </c>
      <c r="K17" s="66">
        <f t="shared" si="1"/>
        <v>0</v>
      </c>
      <c r="L17" s="10"/>
      <c r="M17" s="1">
        <v>267</v>
      </c>
      <c r="N17" s="1">
        <v>267</v>
      </c>
      <c r="O17" s="62">
        <v>1.01</v>
      </c>
      <c r="P17" s="66">
        <f t="shared" si="2"/>
        <v>0</v>
      </c>
      <c r="Q17" s="66">
        <f t="shared" si="3"/>
        <v>0</v>
      </c>
      <c r="S17">
        <v>267</v>
      </c>
      <c r="T17">
        <v>267</v>
      </c>
      <c r="U17" s="17">
        <v>3.59440574</v>
      </c>
      <c r="V17" s="66">
        <f t="shared" si="4"/>
        <v>0</v>
      </c>
      <c r="W17" s="66">
        <f t="shared" si="5"/>
        <v>0</v>
      </c>
      <c r="Z17" s="4">
        <f t="shared" si="6"/>
        <v>0</v>
      </c>
      <c r="AA17" s="4">
        <f t="shared" si="7"/>
        <v>1</v>
      </c>
      <c r="AB17" s="4">
        <f t="shared" si="8"/>
        <v>0</v>
      </c>
      <c r="AC17" s="63"/>
      <c r="AD17" s="63"/>
      <c r="AF17" s="63">
        <f>IF($M17&lt;$S17,1,0)</f>
        <v>0</v>
      </c>
      <c r="AG17" s="63">
        <f>IF($M17=$S17,1,0)</f>
        <v>1</v>
      </c>
      <c r="AH17" s="63">
        <f>IF($M17&gt;$S17,1,0)</f>
        <v>0</v>
      </c>
    </row>
    <row r="18" spans="1:34" x14ac:dyDescent="0.6">
      <c r="A18" s="6" t="s">
        <v>421</v>
      </c>
      <c r="B18" s="24">
        <v>10</v>
      </c>
      <c r="C18" s="12" t="s">
        <v>970</v>
      </c>
      <c r="D18" s="13" t="s">
        <v>976</v>
      </c>
      <c r="E18" s="13" t="s">
        <v>982</v>
      </c>
      <c r="F18" s="10">
        <v>7</v>
      </c>
      <c r="G18" s="43" t="str">
        <f t="shared" si="0"/>
        <v>10_10-20_5-10_40-60</v>
      </c>
      <c r="H18">
        <v>202</v>
      </c>
      <c r="I18">
        <v>202</v>
      </c>
      <c r="J18" s="22">
        <v>3.33</v>
      </c>
      <c r="K18" s="66">
        <f t="shared" si="1"/>
        <v>0</v>
      </c>
      <c r="L18" s="10"/>
      <c r="M18" s="1">
        <v>202</v>
      </c>
      <c r="N18" s="1">
        <v>202</v>
      </c>
      <c r="O18" s="62">
        <v>1.01</v>
      </c>
      <c r="P18" s="66">
        <f t="shared" si="2"/>
        <v>0</v>
      </c>
      <c r="Q18" s="66">
        <f t="shared" si="3"/>
        <v>0</v>
      </c>
      <c r="S18">
        <v>202</v>
      </c>
      <c r="T18">
        <v>202.6</v>
      </c>
      <c r="U18" s="17">
        <v>3.2813683</v>
      </c>
      <c r="V18" s="66">
        <f t="shared" si="4"/>
        <v>0</v>
      </c>
      <c r="W18" s="66">
        <f t="shared" si="5"/>
        <v>0.29702970297029424</v>
      </c>
      <c r="Z18" s="4">
        <f t="shared" si="6"/>
        <v>0</v>
      </c>
      <c r="AA18" s="4">
        <f t="shared" si="7"/>
        <v>1</v>
      </c>
      <c r="AB18" s="4">
        <f t="shared" si="8"/>
        <v>0</v>
      </c>
      <c r="AC18" s="63"/>
      <c r="AD18" s="63"/>
      <c r="AF18" s="63">
        <f>IF($M18&lt;$S18,1,0)</f>
        <v>0</v>
      </c>
      <c r="AG18" s="63">
        <f>IF($M18=$S18,1,0)</f>
        <v>1</v>
      </c>
      <c r="AH18" s="63">
        <f>IF($M18&gt;$S18,1,0)</f>
        <v>0</v>
      </c>
    </row>
    <row r="19" spans="1:34" x14ac:dyDescent="0.6">
      <c r="A19" s="6" t="s">
        <v>422</v>
      </c>
      <c r="B19" s="24">
        <v>10</v>
      </c>
      <c r="C19" s="12" t="s">
        <v>970</v>
      </c>
      <c r="D19" s="13" t="s">
        <v>976</v>
      </c>
      <c r="E19" s="13" t="s">
        <v>982</v>
      </c>
      <c r="F19" s="10">
        <v>8</v>
      </c>
      <c r="G19" s="43" t="str">
        <f t="shared" si="0"/>
        <v>10_10-20_5-10_40-60</v>
      </c>
      <c r="H19">
        <v>195</v>
      </c>
      <c r="I19">
        <v>195</v>
      </c>
      <c r="J19" s="22">
        <v>5.5</v>
      </c>
      <c r="K19" s="66">
        <f t="shared" si="1"/>
        <v>0</v>
      </c>
      <c r="L19" s="10"/>
      <c r="M19" s="1">
        <v>195</v>
      </c>
      <c r="N19" s="1">
        <v>195</v>
      </c>
      <c r="O19" s="62">
        <v>1.01</v>
      </c>
      <c r="P19" s="66">
        <f t="shared" si="2"/>
        <v>0</v>
      </c>
      <c r="Q19" s="66">
        <f t="shared" si="3"/>
        <v>0</v>
      </c>
      <c r="S19">
        <v>195</v>
      </c>
      <c r="T19">
        <v>196.6</v>
      </c>
      <c r="U19" s="17">
        <v>3.3153017199999999</v>
      </c>
      <c r="V19" s="66">
        <f t="shared" si="4"/>
        <v>0</v>
      </c>
      <c r="W19" s="66">
        <f t="shared" si="5"/>
        <v>0.8205128205128176</v>
      </c>
      <c r="Z19" s="4">
        <f t="shared" si="6"/>
        <v>0</v>
      </c>
      <c r="AA19" s="4">
        <f t="shared" si="7"/>
        <v>1</v>
      </c>
      <c r="AB19" s="4">
        <f t="shared" si="8"/>
        <v>0</v>
      </c>
      <c r="AC19" s="63"/>
      <c r="AD19" s="63"/>
      <c r="AF19" s="63">
        <f>IF($M19&lt;$S19,1,0)</f>
        <v>0</v>
      </c>
      <c r="AG19" s="63">
        <f>IF($M19=$S19,1,0)</f>
        <v>1</v>
      </c>
      <c r="AH19" s="63">
        <f>IF($M19&gt;$S19,1,0)</f>
        <v>0</v>
      </c>
    </row>
    <row r="20" spans="1:34" x14ac:dyDescent="0.6">
      <c r="A20" s="6" t="s">
        <v>423</v>
      </c>
      <c r="B20" s="24">
        <v>10</v>
      </c>
      <c r="C20" s="12" t="s">
        <v>970</v>
      </c>
      <c r="D20" s="13" t="s">
        <v>976</v>
      </c>
      <c r="E20" s="13" t="s">
        <v>982</v>
      </c>
      <c r="F20" s="10">
        <v>9</v>
      </c>
      <c r="G20" s="43" t="str">
        <f t="shared" si="0"/>
        <v>10_10-20_5-10_40-60</v>
      </c>
      <c r="H20">
        <v>192</v>
      </c>
      <c r="I20">
        <v>192</v>
      </c>
      <c r="J20" s="22">
        <v>3.28</v>
      </c>
      <c r="K20" s="66">
        <f t="shared" si="1"/>
        <v>0</v>
      </c>
      <c r="L20" s="10"/>
      <c r="M20" s="1">
        <v>192</v>
      </c>
      <c r="N20" s="1">
        <v>192</v>
      </c>
      <c r="O20" s="62">
        <v>1.01</v>
      </c>
      <c r="P20" s="66">
        <f t="shared" si="2"/>
        <v>0</v>
      </c>
      <c r="Q20" s="66">
        <f t="shared" si="3"/>
        <v>0</v>
      </c>
      <c r="S20">
        <v>192</v>
      </c>
      <c r="T20">
        <v>193</v>
      </c>
      <c r="U20" s="17">
        <v>3.2560916400000002</v>
      </c>
      <c r="V20" s="66">
        <f t="shared" si="4"/>
        <v>0</v>
      </c>
      <c r="W20" s="66">
        <f t="shared" si="5"/>
        <v>0.52083333333333326</v>
      </c>
      <c r="Z20" s="4">
        <f t="shared" si="6"/>
        <v>0</v>
      </c>
      <c r="AA20" s="4">
        <f t="shared" si="7"/>
        <v>1</v>
      </c>
      <c r="AB20" s="4">
        <f t="shared" si="8"/>
        <v>0</v>
      </c>
      <c r="AC20" s="63"/>
      <c r="AD20" s="63"/>
      <c r="AF20" s="63">
        <f>IF($M20&lt;$S20,1,0)</f>
        <v>0</v>
      </c>
      <c r="AG20" s="63">
        <f>IF($M20=$S20,1,0)</f>
        <v>1</v>
      </c>
      <c r="AH20" s="63">
        <f>IF($M20&gt;$S20,1,0)</f>
        <v>0</v>
      </c>
    </row>
    <row r="21" spans="1:34" x14ac:dyDescent="0.6">
      <c r="A21" s="6" t="s">
        <v>424</v>
      </c>
      <c r="B21" s="24">
        <v>10</v>
      </c>
      <c r="C21" s="12" t="s">
        <v>970</v>
      </c>
      <c r="D21" s="13" t="s">
        <v>976</v>
      </c>
      <c r="E21" s="13" t="s">
        <v>982</v>
      </c>
      <c r="F21" s="10">
        <v>10</v>
      </c>
      <c r="G21" s="43" t="str">
        <f t="shared" si="0"/>
        <v>10_10-20_5-10_40-60</v>
      </c>
      <c r="H21">
        <v>211</v>
      </c>
      <c r="I21">
        <v>211</v>
      </c>
      <c r="J21" s="22">
        <v>0.28000000000000003</v>
      </c>
      <c r="K21" s="66">
        <f t="shared" si="1"/>
        <v>0</v>
      </c>
      <c r="L21" s="10"/>
      <c r="M21" s="1">
        <v>211</v>
      </c>
      <c r="N21" s="1">
        <v>211</v>
      </c>
      <c r="O21" s="62">
        <v>1.01</v>
      </c>
      <c r="P21" s="66">
        <f t="shared" si="2"/>
        <v>0</v>
      </c>
      <c r="Q21" s="66">
        <f t="shared" si="3"/>
        <v>0</v>
      </c>
      <c r="S21">
        <v>211</v>
      </c>
      <c r="T21">
        <v>212.4</v>
      </c>
      <c r="U21" s="17">
        <v>3.6100155599999999</v>
      </c>
      <c r="V21" s="66">
        <f t="shared" si="4"/>
        <v>0</v>
      </c>
      <c r="W21" s="66">
        <f t="shared" si="5"/>
        <v>0.66350710900474197</v>
      </c>
      <c r="Z21" s="4">
        <f t="shared" si="6"/>
        <v>0</v>
      </c>
      <c r="AA21" s="4">
        <f t="shared" si="7"/>
        <v>1</v>
      </c>
      <c r="AB21" s="4">
        <f t="shared" si="8"/>
        <v>0</v>
      </c>
      <c r="AC21" s="63"/>
      <c r="AD21" s="63"/>
      <c r="AF21" s="63">
        <f>IF($M21&lt;$S21,1,0)</f>
        <v>0</v>
      </c>
      <c r="AG21" s="63">
        <f>IF($M21=$S21,1,0)</f>
        <v>1</v>
      </c>
      <c r="AH21" s="63">
        <f>IF($M21&gt;$S21,1,0)</f>
        <v>0</v>
      </c>
    </row>
    <row r="22" spans="1:34" x14ac:dyDescent="0.6">
      <c r="A22" s="6" t="s">
        <v>425</v>
      </c>
      <c r="B22" s="24">
        <v>10</v>
      </c>
      <c r="C22" s="12" t="s">
        <v>970</v>
      </c>
      <c r="D22" s="13" t="s">
        <v>979</v>
      </c>
      <c r="E22" s="13" t="s">
        <v>981</v>
      </c>
      <c r="F22" s="10">
        <v>1</v>
      </c>
      <c r="G22" s="43" t="str">
        <f t="shared" si="0"/>
        <v>10_10-20_10-15_20-40</v>
      </c>
      <c r="H22">
        <v>236</v>
      </c>
      <c r="I22">
        <v>236</v>
      </c>
      <c r="J22" s="22">
        <v>6.92</v>
      </c>
      <c r="K22" s="66">
        <f t="shared" si="1"/>
        <v>0</v>
      </c>
      <c r="L22" s="10"/>
      <c r="M22" s="1">
        <v>236</v>
      </c>
      <c r="N22" s="1">
        <v>236</v>
      </c>
      <c r="O22" s="62">
        <v>1.01</v>
      </c>
      <c r="P22" s="66">
        <f t="shared" si="2"/>
        <v>0</v>
      </c>
      <c r="Q22" s="66">
        <f t="shared" si="3"/>
        <v>0</v>
      </c>
      <c r="S22">
        <v>236</v>
      </c>
      <c r="T22">
        <v>236.6</v>
      </c>
      <c r="U22" s="17">
        <v>3.4419794000000001</v>
      </c>
      <c r="V22" s="66">
        <f t="shared" si="4"/>
        <v>0</v>
      </c>
      <c r="W22" s="66">
        <f t="shared" si="5"/>
        <v>0.25423728813559082</v>
      </c>
      <c r="Z22" s="4">
        <f t="shared" si="6"/>
        <v>0</v>
      </c>
      <c r="AA22" s="4">
        <f t="shared" si="7"/>
        <v>1</v>
      </c>
      <c r="AB22" s="4">
        <f t="shared" si="8"/>
        <v>0</v>
      </c>
      <c r="AC22" s="63"/>
      <c r="AD22" s="63"/>
      <c r="AF22" s="63">
        <f>IF($M22&lt;$S22,1,0)</f>
        <v>0</v>
      </c>
      <c r="AG22" s="63">
        <f>IF($M22=$S22,1,0)</f>
        <v>1</v>
      </c>
      <c r="AH22" s="63">
        <f>IF($M22&gt;$S22,1,0)</f>
        <v>0</v>
      </c>
    </row>
    <row r="23" spans="1:34" x14ac:dyDescent="0.6">
      <c r="A23" s="6" t="s">
        <v>426</v>
      </c>
      <c r="B23" s="24">
        <v>10</v>
      </c>
      <c r="C23" s="12" t="s">
        <v>970</v>
      </c>
      <c r="D23" s="13" t="s">
        <v>979</v>
      </c>
      <c r="E23" s="13" t="s">
        <v>981</v>
      </c>
      <c r="F23" s="10">
        <v>2</v>
      </c>
      <c r="G23" s="43" t="str">
        <f t="shared" si="0"/>
        <v>10_10-20_10-15_20-40</v>
      </c>
      <c r="H23">
        <v>231</v>
      </c>
      <c r="I23">
        <v>231</v>
      </c>
      <c r="J23" s="22">
        <v>3.3</v>
      </c>
      <c r="K23" s="66">
        <f t="shared" si="1"/>
        <v>0</v>
      </c>
      <c r="L23" s="10"/>
      <c r="M23" s="1">
        <v>231</v>
      </c>
      <c r="N23" s="1">
        <v>231</v>
      </c>
      <c r="O23" s="62">
        <v>1.01</v>
      </c>
      <c r="P23" s="66">
        <f t="shared" si="2"/>
        <v>0</v>
      </c>
      <c r="Q23" s="66">
        <f t="shared" si="3"/>
        <v>0</v>
      </c>
      <c r="S23">
        <v>231</v>
      </c>
      <c r="T23">
        <v>231</v>
      </c>
      <c r="U23" s="17">
        <v>3.5496479000000001</v>
      </c>
      <c r="V23" s="66">
        <f t="shared" si="4"/>
        <v>0</v>
      </c>
      <c r="W23" s="66">
        <f t="shared" si="5"/>
        <v>0</v>
      </c>
      <c r="Z23" s="4">
        <f t="shared" si="6"/>
        <v>0</v>
      </c>
      <c r="AA23" s="4">
        <f t="shared" si="7"/>
        <v>1</v>
      </c>
      <c r="AB23" s="4">
        <f t="shared" si="8"/>
        <v>0</v>
      </c>
      <c r="AC23" s="63"/>
      <c r="AD23" s="63"/>
      <c r="AF23" s="63">
        <f>IF($M23&lt;$S23,1,0)</f>
        <v>0</v>
      </c>
      <c r="AG23" s="63">
        <f>IF($M23=$S23,1,0)</f>
        <v>1</v>
      </c>
      <c r="AH23" s="63">
        <f>IF($M23&gt;$S23,1,0)</f>
        <v>0</v>
      </c>
    </row>
    <row r="24" spans="1:34" x14ac:dyDescent="0.6">
      <c r="A24" s="6" t="s">
        <v>427</v>
      </c>
      <c r="B24" s="24">
        <v>10</v>
      </c>
      <c r="C24" s="12" t="s">
        <v>970</v>
      </c>
      <c r="D24" s="13" t="s">
        <v>978</v>
      </c>
      <c r="E24" s="13" t="s">
        <v>980</v>
      </c>
      <c r="F24" s="10">
        <v>3</v>
      </c>
      <c r="G24" s="43" t="str">
        <f t="shared" si="0"/>
        <v>10_10-20_10-15_20-40</v>
      </c>
      <c r="H24">
        <v>235</v>
      </c>
      <c r="I24">
        <v>235</v>
      </c>
      <c r="J24" s="22">
        <v>6.43</v>
      </c>
      <c r="K24" s="66">
        <f t="shared" si="1"/>
        <v>0</v>
      </c>
      <c r="L24" s="10"/>
      <c r="M24" s="1">
        <v>235</v>
      </c>
      <c r="N24" s="1">
        <v>235</v>
      </c>
      <c r="O24" s="62">
        <v>1.01</v>
      </c>
      <c r="P24" s="66">
        <f t="shared" si="2"/>
        <v>0</v>
      </c>
      <c r="Q24" s="66">
        <f t="shared" si="3"/>
        <v>0</v>
      </c>
      <c r="S24">
        <v>235</v>
      </c>
      <c r="T24">
        <v>235</v>
      </c>
      <c r="U24" s="17">
        <v>3.27744568</v>
      </c>
      <c r="V24" s="66">
        <f t="shared" si="4"/>
        <v>0</v>
      </c>
      <c r="W24" s="66">
        <f t="shared" si="5"/>
        <v>0</v>
      </c>
      <c r="Z24" s="4">
        <f t="shared" si="6"/>
        <v>0</v>
      </c>
      <c r="AA24" s="4">
        <f t="shared" si="7"/>
        <v>1</v>
      </c>
      <c r="AB24" s="4">
        <f t="shared" si="8"/>
        <v>0</v>
      </c>
      <c r="AC24" s="63"/>
      <c r="AD24" s="63"/>
      <c r="AF24" s="63">
        <f>IF($M24&lt;$S24,1,0)</f>
        <v>0</v>
      </c>
      <c r="AG24" s="63">
        <f>IF($M24=$S24,1,0)</f>
        <v>1</v>
      </c>
      <c r="AH24" s="63">
        <f>IF($M24&gt;$S24,1,0)</f>
        <v>0</v>
      </c>
    </row>
    <row r="25" spans="1:34" x14ac:dyDescent="0.6">
      <c r="A25" s="6" t="s">
        <v>428</v>
      </c>
      <c r="B25" s="24">
        <v>10</v>
      </c>
      <c r="C25" s="12" t="s">
        <v>970</v>
      </c>
      <c r="D25" s="13" t="s">
        <v>978</v>
      </c>
      <c r="E25" s="13" t="s">
        <v>980</v>
      </c>
      <c r="F25" s="10">
        <v>4</v>
      </c>
      <c r="G25" s="43" t="str">
        <f t="shared" si="0"/>
        <v>10_10-20_10-15_20-40</v>
      </c>
      <c r="H25">
        <v>241</v>
      </c>
      <c r="I25">
        <v>241</v>
      </c>
      <c r="J25" s="22">
        <v>3.82</v>
      </c>
      <c r="K25" s="66">
        <f t="shared" si="1"/>
        <v>0</v>
      </c>
      <c r="L25" s="10"/>
      <c r="M25" s="1">
        <v>241</v>
      </c>
      <c r="N25" s="1">
        <v>241</v>
      </c>
      <c r="O25" s="62">
        <v>1.01</v>
      </c>
      <c r="P25" s="66">
        <f t="shared" si="2"/>
        <v>0</v>
      </c>
      <c r="Q25" s="66">
        <f t="shared" si="3"/>
        <v>0</v>
      </c>
      <c r="S25">
        <v>241</v>
      </c>
      <c r="T25">
        <v>241.2</v>
      </c>
      <c r="U25" s="17">
        <v>3.3673819200000001</v>
      </c>
      <c r="V25" s="66">
        <f t="shared" si="4"/>
        <v>0</v>
      </c>
      <c r="W25" s="66">
        <f t="shared" si="5"/>
        <v>8.2987551867215195E-2</v>
      </c>
      <c r="Z25" s="4">
        <f t="shared" si="6"/>
        <v>0</v>
      </c>
      <c r="AA25" s="4">
        <f t="shared" si="7"/>
        <v>1</v>
      </c>
      <c r="AB25" s="4">
        <f t="shared" si="8"/>
        <v>0</v>
      </c>
      <c r="AC25" s="63"/>
      <c r="AD25" s="63"/>
      <c r="AF25" s="63">
        <f>IF($M25&lt;$S25,1,0)</f>
        <v>0</v>
      </c>
      <c r="AG25" s="63">
        <f>IF($M25=$S25,1,0)</f>
        <v>1</v>
      </c>
      <c r="AH25" s="63">
        <f>IF($M25&gt;$S25,1,0)</f>
        <v>0</v>
      </c>
    </row>
    <row r="26" spans="1:34" x14ac:dyDescent="0.6">
      <c r="A26" s="6" t="s">
        <v>429</v>
      </c>
      <c r="B26" s="24">
        <v>10</v>
      </c>
      <c r="C26" s="12" t="s">
        <v>970</v>
      </c>
      <c r="D26" s="13" t="s">
        <v>978</v>
      </c>
      <c r="E26" s="13" t="s">
        <v>980</v>
      </c>
      <c r="F26" s="10">
        <v>5</v>
      </c>
      <c r="G26" s="43" t="str">
        <f t="shared" si="0"/>
        <v>10_10-20_10-15_20-40</v>
      </c>
      <c r="H26">
        <v>246</v>
      </c>
      <c r="I26">
        <v>246</v>
      </c>
      <c r="J26" s="22">
        <v>2.56</v>
      </c>
      <c r="K26" s="66">
        <f t="shared" si="1"/>
        <v>0</v>
      </c>
      <c r="L26" s="10"/>
      <c r="M26" s="1">
        <v>246</v>
      </c>
      <c r="N26" s="1">
        <v>246</v>
      </c>
      <c r="O26" s="62">
        <v>1.01</v>
      </c>
      <c r="P26" s="66">
        <f t="shared" si="2"/>
        <v>0</v>
      </c>
      <c r="Q26" s="66">
        <f t="shared" si="3"/>
        <v>0</v>
      </c>
      <c r="S26">
        <v>246</v>
      </c>
      <c r="T26">
        <v>247.8</v>
      </c>
      <c r="U26" s="17">
        <v>3.9064596200000001</v>
      </c>
      <c r="V26" s="66">
        <f t="shared" si="4"/>
        <v>0</v>
      </c>
      <c r="W26" s="66">
        <f t="shared" si="5"/>
        <v>0.73170731707317538</v>
      </c>
      <c r="Z26" s="4">
        <f t="shared" si="6"/>
        <v>0</v>
      </c>
      <c r="AA26" s="4">
        <f t="shared" si="7"/>
        <v>1</v>
      </c>
      <c r="AB26" s="4">
        <f t="shared" si="8"/>
        <v>0</v>
      </c>
      <c r="AC26" s="63"/>
      <c r="AD26" s="63"/>
      <c r="AF26" s="63">
        <f>IF($M26&lt;$S26,1,0)</f>
        <v>0</v>
      </c>
      <c r="AG26" s="63">
        <f>IF($M26=$S26,1,0)</f>
        <v>1</v>
      </c>
      <c r="AH26" s="63">
        <f>IF($M26&gt;$S26,1,0)</f>
        <v>0</v>
      </c>
    </row>
    <row r="27" spans="1:34" x14ac:dyDescent="0.6">
      <c r="A27" s="6" t="s">
        <v>430</v>
      </c>
      <c r="B27" s="24">
        <v>10</v>
      </c>
      <c r="C27" s="12" t="s">
        <v>970</v>
      </c>
      <c r="D27" s="13" t="s">
        <v>978</v>
      </c>
      <c r="E27" s="13" t="s">
        <v>980</v>
      </c>
      <c r="F27" s="10">
        <v>6</v>
      </c>
      <c r="G27" s="43" t="str">
        <f t="shared" si="0"/>
        <v>10_10-20_10-15_20-40</v>
      </c>
      <c r="H27">
        <v>264</v>
      </c>
      <c r="I27">
        <v>264</v>
      </c>
      <c r="J27" s="22">
        <v>2.08</v>
      </c>
      <c r="K27" s="66">
        <f t="shared" si="1"/>
        <v>0</v>
      </c>
      <c r="L27" s="10"/>
      <c r="M27" s="1">
        <v>264</v>
      </c>
      <c r="N27" s="1">
        <v>264</v>
      </c>
      <c r="O27" s="62">
        <v>1.01</v>
      </c>
      <c r="P27" s="66">
        <f t="shared" si="2"/>
        <v>0</v>
      </c>
      <c r="Q27" s="66">
        <f t="shared" si="3"/>
        <v>0</v>
      </c>
      <c r="S27">
        <v>264</v>
      </c>
      <c r="T27">
        <v>264</v>
      </c>
      <c r="U27" s="17">
        <v>3.69335616</v>
      </c>
      <c r="V27" s="66">
        <f t="shared" si="4"/>
        <v>0</v>
      </c>
      <c r="W27" s="66">
        <f t="shared" si="5"/>
        <v>0</v>
      </c>
      <c r="Z27" s="4">
        <f t="shared" si="6"/>
        <v>0</v>
      </c>
      <c r="AA27" s="4">
        <f t="shared" si="7"/>
        <v>1</v>
      </c>
      <c r="AB27" s="4">
        <f t="shared" si="8"/>
        <v>0</v>
      </c>
      <c r="AC27" s="63"/>
      <c r="AD27" s="63"/>
      <c r="AF27" s="63">
        <f>IF($M27&lt;$S27,1,0)</f>
        <v>0</v>
      </c>
      <c r="AG27" s="63">
        <f>IF($M27=$S27,1,0)</f>
        <v>1</v>
      </c>
      <c r="AH27" s="63">
        <f>IF($M27&gt;$S27,1,0)</f>
        <v>0</v>
      </c>
    </row>
    <row r="28" spans="1:34" x14ac:dyDescent="0.6">
      <c r="A28" s="6" t="s">
        <v>431</v>
      </c>
      <c r="B28" s="24">
        <v>10</v>
      </c>
      <c r="C28" s="12" t="s">
        <v>970</v>
      </c>
      <c r="D28" s="13" t="s">
        <v>978</v>
      </c>
      <c r="E28" s="13" t="s">
        <v>980</v>
      </c>
      <c r="F28" s="10">
        <v>7</v>
      </c>
      <c r="G28" s="43" t="str">
        <f t="shared" si="0"/>
        <v>10_10-20_10-15_20-40</v>
      </c>
      <c r="H28">
        <v>243</v>
      </c>
      <c r="I28">
        <v>243</v>
      </c>
      <c r="J28" s="22">
        <v>7.6</v>
      </c>
      <c r="K28" s="66">
        <f t="shared" si="1"/>
        <v>0</v>
      </c>
      <c r="L28" s="10"/>
      <c r="M28" s="1">
        <v>243</v>
      </c>
      <c r="N28" s="1">
        <v>243</v>
      </c>
      <c r="O28" s="62">
        <v>1.01</v>
      </c>
      <c r="P28" s="66">
        <f t="shared" si="2"/>
        <v>0</v>
      </c>
      <c r="Q28" s="66">
        <f t="shared" si="3"/>
        <v>0</v>
      </c>
      <c r="S28">
        <v>243</v>
      </c>
      <c r="T28">
        <v>244.6</v>
      </c>
      <c r="U28" s="17">
        <v>3.0990491599999999</v>
      </c>
      <c r="V28" s="66">
        <f t="shared" si="4"/>
        <v>0</v>
      </c>
      <c r="W28" s="66">
        <f t="shared" si="5"/>
        <v>0.65843621399176722</v>
      </c>
      <c r="Z28" s="4">
        <f t="shared" si="6"/>
        <v>0</v>
      </c>
      <c r="AA28" s="4">
        <f t="shared" si="7"/>
        <v>1</v>
      </c>
      <c r="AB28" s="4">
        <f t="shared" si="8"/>
        <v>0</v>
      </c>
      <c r="AC28" s="63"/>
      <c r="AD28" s="63"/>
      <c r="AF28" s="63">
        <f>IF($M28&lt;$S28,1,0)</f>
        <v>0</v>
      </c>
      <c r="AG28" s="63">
        <f>IF($M28=$S28,1,0)</f>
        <v>1</v>
      </c>
      <c r="AH28" s="63">
        <f>IF($M28&gt;$S28,1,0)</f>
        <v>0</v>
      </c>
    </row>
    <row r="29" spans="1:34" x14ac:dyDescent="0.6">
      <c r="A29" s="6" t="s">
        <v>432</v>
      </c>
      <c r="B29" s="24">
        <v>10</v>
      </c>
      <c r="C29" s="12" t="s">
        <v>970</v>
      </c>
      <c r="D29" s="13" t="s">
        <v>978</v>
      </c>
      <c r="E29" s="13" t="s">
        <v>980</v>
      </c>
      <c r="F29" s="10">
        <v>8</v>
      </c>
      <c r="G29" s="43" t="str">
        <f t="shared" si="0"/>
        <v>10_10-20_10-15_20-40</v>
      </c>
      <c r="H29">
        <v>240</v>
      </c>
      <c r="I29">
        <v>240</v>
      </c>
      <c r="J29" s="22">
        <v>13.26</v>
      </c>
      <c r="K29" s="66">
        <f t="shared" si="1"/>
        <v>0</v>
      </c>
      <c r="L29" s="10"/>
      <c r="M29" s="1">
        <v>240</v>
      </c>
      <c r="N29" s="1">
        <v>240</v>
      </c>
      <c r="O29" s="62">
        <v>1</v>
      </c>
      <c r="P29" s="66">
        <f t="shared" si="2"/>
        <v>0</v>
      </c>
      <c r="Q29" s="66">
        <f t="shared" si="3"/>
        <v>0</v>
      </c>
      <c r="S29">
        <v>240</v>
      </c>
      <c r="T29">
        <v>240.8</v>
      </c>
      <c r="U29" s="17">
        <v>3.2894922200000001</v>
      </c>
      <c r="V29" s="66">
        <f t="shared" si="4"/>
        <v>0</v>
      </c>
      <c r="W29" s="66">
        <f t="shared" si="5"/>
        <v>0.33333333333333809</v>
      </c>
      <c r="Z29" s="4">
        <f t="shared" si="6"/>
        <v>0</v>
      </c>
      <c r="AA29" s="4">
        <f t="shared" si="7"/>
        <v>1</v>
      </c>
      <c r="AB29" s="4">
        <f t="shared" si="8"/>
        <v>0</v>
      </c>
      <c r="AC29" s="63"/>
      <c r="AD29" s="63"/>
      <c r="AF29" s="63">
        <f>IF($M29&lt;$S29,1,0)</f>
        <v>0</v>
      </c>
      <c r="AG29" s="63">
        <f>IF($M29=$S29,1,0)</f>
        <v>1</v>
      </c>
      <c r="AH29" s="63">
        <f>IF($M29&gt;$S29,1,0)</f>
        <v>0</v>
      </c>
    </row>
    <row r="30" spans="1:34" x14ac:dyDescent="0.6">
      <c r="A30" s="6" t="s">
        <v>433</v>
      </c>
      <c r="B30" s="24">
        <v>10</v>
      </c>
      <c r="C30" s="12" t="s">
        <v>970</v>
      </c>
      <c r="D30" s="13" t="s">
        <v>978</v>
      </c>
      <c r="E30" s="13" t="s">
        <v>980</v>
      </c>
      <c r="F30" s="10">
        <v>9</v>
      </c>
      <c r="G30" s="43" t="str">
        <f t="shared" si="0"/>
        <v>10_10-20_10-15_20-40</v>
      </c>
      <c r="H30">
        <v>235</v>
      </c>
      <c r="I30">
        <v>235</v>
      </c>
      <c r="J30" s="22">
        <v>5.32</v>
      </c>
      <c r="K30" s="66">
        <f t="shared" si="1"/>
        <v>0</v>
      </c>
      <c r="L30" s="10"/>
      <c r="M30" s="1">
        <v>235</v>
      </c>
      <c r="N30" s="1">
        <v>235</v>
      </c>
      <c r="O30" s="62">
        <v>1.01</v>
      </c>
      <c r="P30" s="66">
        <f t="shared" si="2"/>
        <v>0</v>
      </c>
      <c r="Q30" s="66">
        <f t="shared" si="3"/>
        <v>0</v>
      </c>
      <c r="S30">
        <v>235</v>
      </c>
      <c r="T30">
        <v>236.2</v>
      </c>
      <c r="U30" s="17">
        <v>3.3618586600000002</v>
      </c>
      <c r="V30" s="66">
        <f t="shared" si="4"/>
        <v>0</v>
      </c>
      <c r="W30" s="66">
        <f t="shared" si="5"/>
        <v>0.51063829787233561</v>
      </c>
      <c r="Z30" s="4">
        <f t="shared" si="6"/>
        <v>0</v>
      </c>
      <c r="AA30" s="4">
        <f t="shared" si="7"/>
        <v>1</v>
      </c>
      <c r="AB30" s="4">
        <f t="shared" si="8"/>
        <v>0</v>
      </c>
      <c r="AC30" s="63"/>
      <c r="AD30" s="63"/>
      <c r="AF30" s="63">
        <f>IF($M30&lt;$S30,1,0)</f>
        <v>0</v>
      </c>
      <c r="AG30" s="63">
        <f>IF($M30=$S30,1,0)</f>
        <v>1</v>
      </c>
      <c r="AH30" s="63">
        <f>IF($M30&gt;$S30,1,0)</f>
        <v>0</v>
      </c>
    </row>
    <row r="31" spans="1:34" x14ac:dyDescent="0.6">
      <c r="A31" s="6" t="s">
        <v>434</v>
      </c>
      <c r="B31" s="24">
        <v>10</v>
      </c>
      <c r="C31" s="12" t="s">
        <v>970</v>
      </c>
      <c r="D31" s="13" t="s">
        <v>978</v>
      </c>
      <c r="E31" s="13" t="s">
        <v>980</v>
      </c>
      <c r="F31" s="10">
        <v>10</v>
      </c>
      <c r="G31" s="43" t="str">
        <f t="shared" si="0"/>
        <v>10_10-20_10-15_20-40</v>
      </c>
      <c r="H31">
        <v>252</v>
      </c>
      <c r="I31">
        <v>252</v>
      </c>
      <c r="J31" s="22">
        <v>3.8</v>
      </c>
      <c r="K31" s="66">
        <f t="shared" si="1"/>
        <v>0</v>
      </c>
      <c r="L31" s="10"/>
      <c r="M31" s="1">
        <v>252</v>
      </c>
      <c r="N31" s="1">
        <v>252</v>
      </c>
      <c r="O31" s="62">
        <v>1.01</v>
      </c>
      <c r="P31" s="66">
        <f t="shared" si="2"/>
        <v>0</v>
      </c>
      <c r="Q31" s="66">
        <f t="shared" si="3"/>
        <v>0</v>
      </c>
      <c r="S31">
        <v>253</v>
      </c>
      <c r="T31">
        <v>254.2</v>
      </c>
      <c r="U31" s="17">
        <v>3.5636217600000002</v>
      </c>
      <c r="V31" s="66">
        <f t="shared" si="4"/>
        <v>0.3968253968253968</v>
      </c>
      <c r="W31" s="66">
        <f t="shared" si="5"/>
        <v>0.87301587301586858</v>
      </c>
      <c r="Z31" s="4">
        <f t="shared" si="6"/>
        <v>0</v>
      </c>
      <c r="AA31" s="4">
        <f t="shared" si="7"/>
        <v>1</v>
      </c>
      <c r="AB31" s="4">
        <f t="shared" si="8"/>
        <v>0</v>
      </c>
      <c r="AC31" s="63"/>
      <c r="AD31" s="63"/>
      <c r="AF31" s="63">
        <f>IF($M31&lt;$S31,1,0)</f>
        <v>1</v>
      </c>
      <c r="AG31" s="63">
        <f>IF($M31=$S31,1,0)</f>
        <v>0</v>
      </c>
      <c r="AH31" s="63">
        <f>IF($M31&gt;$S31,1,0)</f>
        <v>0</v>
      </c>
    </row>
    <row r="32" spans="1:34" x14ac:dyDescent="0.6">
      <c r="A32" s="6" t="s">
        <v>435</v>
      </c>
      <c r="B32" s="24">
        <v>10</v>
      </c>
      <c r="C32" s="12" t="s">
        <v>970</v>
      </c>
      <c r="D32" s="13" t="s">
        <v>978</v>
      </c>
      <c r="E32" s="13" t="s">
        <v>984</v>
      </c>
      <c r="F32" s="10">
        <v>1</v>
      </c>
      <c r="G32" s="43" t="str">
        <f t="shared" si="0"/>
        <v>10_10-20_10-15_40-60</v>
      </c>
      <c r="H32">
        <v>238</v>
      </c>
      <c r="I32">
        <v>238</v>
      </c>
      <c r="J32" s="22">
        <v>3.81</v>
      </c>
      <c r="K32" s="66">
        <f t="shared" si="1"/>
        <v>0</v>
      </c>
      <c r="L32" s="10"/>
      <c r="M32" s="1">
        <v>238</v>
      </c>
      <c r="N32" s="1">
        <v>238</v>
      </c>
      <c r="O32" s="62">
        <v>1</v>
      </c>
      <c r="P32" s="66">
        <f t="shared" si="2"/>
        <v>0</v>
      </c>
      <c r="Q32" s="66">
        <f t="shared" si="3"/>
        <v>0</v>
      </c>
      <c r="S32">
        <v>238</v>
      </c>
      <c r="T32">
        <v>238.6</v>
      </c>
      <c r="U32" s="17">
        <v>3.3653616999999998</v>
      </c>
      <c r="V32" s="66">
        <f t="shared" si="4"/>
        <v>0</v>
      </c>
      <c r="W32" s="66">
        <f t="shared" si="5"/>
        <v>0.25210084033613206</v>
      </c>
      <c r="Z32" s="4">
        <f t="shared" si="6"/>
        <v>0</v>
      </c>
      <c r="AA32" s="4">
        <f t="shared" si="7"/>
        <v>1</v>
      </c>
      <c r="AB32" s="4">
        <f t="shared" si="8"/>
        <v>0</v>
      </c>
      <c r="AC32" s="63"/>
      <c r="AD32" s="63"/>
      <c r="AF32" s="63">
        <f>IF($M32&lt;$S32,1,0)</f>
        <v>0</v>
      </c>
      <c r="AG32" s="63">
        <f>IF($M32=$S32,1,0)</f>
        <v>1</v>
      </c>
      <c r="AH32" s="63">
        <f>IF($M32&gt;$S32,1,0)</f>
        <v>0</v>
      </c>
    </row>
    <row r="33" spans="1:34" x14ac:dyDescent="0.6">
      <c r="A33" s="6" t="s">
        <v>436</v>
      </c>
      <c r="B33" s="24">
        <v>10</v>
      </c>
      <c r="C33" s="12" t="s">
        <v>970</v>
      </c>
      <c r="D33" s="13" t="s">
        <v>978</v>
      </c>
      <c r="E33" s="13" t="s">
        <v>984</v>
      </c>
      <c r="F33" s="10">
        <v>2</v>
      </c>
      <c r="G33" s="43" t="str">
        <f t="shared" si="0"/>
        <v>10_10-20_10-15_40-60</v>
      </c>
      <c r="H33">
        <v>235</v>
      </c>
      <c r="I33">
        <v>235</v>
      </c>
      <c r="J33" s="22">
        <v>3.33</v>
      </c>
      <c r="K33" s="66">
        <f t="shared" si="1"/>
        <v>0</v>
      </c>
      <c r="L33" s="10"/>
      <c r="M33" s="1">
        <v>235</v>
      </c>
      <c r="N33" s="1">
        <v>235</v>
      </c>
      <c r="O33" s="62">
        <v>1.01</v>
      </c>
      <c r="P33" s="66">
        <f t="shared" si="2"/>
        <v>0</v>
      </c>
      <c r="Q33" s="66">
        <f t="shared" si="3"/>
        <v>0</v>
      </c>
      <c r="S33">
        <v>235</v>
      </c>
      <c r="T33">
        <v>236.6</v>
      </c>
      <c r="U33" s="17">
        <v>3.4667180000000002</v>
      </c>
      <c r="V33" s="66">
        <f t="shared" si="4"/>
        <v>0</v>
      </c>
      <c r="W33" s="66">
        <f t="shared" si="5"/>
        <v>0.68085106382978478</v>
      </c>
      <c r="Z33" s="4">
        <f t="shared" si="6"/>
        <v>0</v>
      </c>
      <c r="AA33" s="4">
        <f t="shared" si="7"/>
        <v>1</v>
      </c>
      <c r="AB33" s="4">
        <f t="shared" si="8"/>
        <v>0</v>
      </c>
      <c r="AC33" s="63"/>
      <c r="AD33" s="63"/>
      <c r="AF33" s="63">
        <f>IF($M33&lt;$S33,1,0)</f>
        <v>0</v>
      </c>
      <c r="AG33" s="63">
        <f>IF($M33=$S33,1,0)</f>
        <v>1</v>
      </c>
      <c r="AH33" s="63">
        <f>IF($M33&gt;$S33,1,0)</f>
        <v>0</v>
      </c>
    </row>
    <row r="34" spans="1:34" x14ac:dyDescent="0.6">
      <c r="A34" s="6" t="s">
        <v>437</v>
      </c>
      <c r="B34" s="24">
        <v>10</v>
      </c>
      <c r="C34" s="12" t="s">
        <v>970</v>
      </c>
      <c r="D34" s="13" t="s">
        <v>978</v>
      </c>
      <c r="E34" s="13" t="s">
        <v>982</v>
      </c>
      <c r="F34" s="10">
        <v>3</v>
      </c>
      <c r="G34" s="43" t="str">
        <f t="shared" si="0"/>
        <v>10_10-20_10-15_40-60</v>
      </c>
      <c r="H34">
        <v>235</v>
      </c>
      <c r="I34">
        <v>235</v>
      </c>
      <c r="J34" s="22">
        <v>3.64</v>
      </c>
      <c r="K34" s="66">
        <f t="shared" si="1"/>
        <v>0</v>
      </c>
      <c r="L34" s="10"/>
      <c r="M34" s="1">
        <v>235</v>
      </c>
      <c r="N34" s="1">
        <v>235</v>
      </c>
      <c r="O34" s="62">
        <v>1.01</v>
      </c>
      <c r="P34" s="66">
        <f t="shared" si="2"/>
        <v>0</v>
      </c>
      <c r="Q34" s="66">
        <f t="shared" si="3"/>
        <v>0</v>
      </c>
      <c r="S34">
        <v>235</v>
      </c>
      <c r="T34">
        <v>236.2</v>
      </c>
      <c r="U34" s="17">
        <v>3.2343153999999998</v>
      </c>
      <c r="V34" s="66">
        <f t="shared" si="4"/>
        <v>0</v>
      </c>
      <c r="W34" s="66">
        <f t="shared" si="5"/>
        <v>0.51063829787233561</v>
      </c>
      <c r="Z34" s="4">
        <f t="shared" si="6"/>
        <v>0</v>
      </c>
      <c r="AA34" s="4">
        <f t="shared" si="7"/>
        <v>1</v>
      </c>
      <c r="AB34" s="4">
        <f t="shared" si="8"/>
        <v>0</v>
      </c>
      <c r="AC34" s="63"/>
      <c r="AD34" s="63"/>
      <c r="AF34" s="63">
        <f>IF($M34&lt;$S34,1,0)</f>
        <v>0</v>
      </c>
      <c r="AG34" s="63">
        <f>IF($M34=$S34,1,0)</f>
        <v>1</v>
      </c>
      <c r="AH34" s="63">
        <f>IF($M34&gt;$S34,1,0)</f>
        <v>0</v>
      </c>
    </row>
    <row r="35" spans="1:34" x14ac:dyDescent="0.6">
      <c r="A35" s="6" t="s">
        <v>438</v>
      </c>
      <c r="B35" s="24">
        <v>10</v>
      </c>
      <c r="C35" s="12" t="s">
        <v>970</v>
      </c>
      <c r="D35" s="13" t="s">
        <v>978</v>
      </c>
      <c r="E35" s="13" t="s">
        <v>982</v>
      </c>
      <c r="F35" s="10">
        <v>4</v>
      </c>
      <c r="G35" s="43" t="str">
        <f t="shared" si="0"/>
        <v>10_10-20_10-15_40-60</v>
      </c>
      <c r="H35">
        <v>241</v>
      </c>
      <c r="I35">
        <v>241</v>
      </c>
      <c r="J35" s="22">
        <v>3.51</v>
      </c>
      <c r="K35" s="66">
        <f t="shared" si="1"/>
        <v>0</v>
      </c>
      <c r="L35" s="10"/>
      <c r="M35" s="1">
        <v>241</v>
      </c>
      <c r="N35" s="1">
        <v>241</v>
      </c>
      <c r="O35" s="62">
        <v>1.01</v>
      </c>
      <c r="P35" s="66">
        <f t="shared" si="2"/>
        <v>0</v>
      </c>
      <c r="Q35" s="66">
        <f t="shared" si="3"/>
        <v>0</v>
      </c>
      <c r="S35">
        <v>241</v>
      </c>
      <c r="T35">
        <v>243.2</v>
      </c>
      <c r="U35" s="17">
        <v>3.3949633399999999</v>
      </c>
      <c r="V35" s="66">
        <f t="shared" si="4"/>
        <v>0</v>
      </c>
      <c r="W35" s="66">
        <f t="shared" si="5"/>
        <v>0.91286307053941451</v>
      </c>
      <c r="Z35" s="4">
        <f t="shared" si="6"/>
        <v>0</v>
      </c>
      <c r="AA35" s="4">
        <f t="shared" si="7"/>
        <v>1</v>
      </c>
      <c r="AB35" s="4">
        <f t="shared" si="8"/>
        <v>0</v>
      </c>
      <c r="AC35" s="63"/>
      <c r="AD35" s="63"/>
      <c r="AF35" s="63">
        <f>IF($M35&lt;$S35,1,0)</f>
        <v>0</v>
      </c>
      <c r="AG35" s="63">
        <f>IF($M35=$S35,1,0)</f>
        <v>1</v>
      </c>
      <c r="AH35" s="63">
        <f>IF($M35&gt;$S35,1,0)</f>
        <v>0</v>
      </c>
    </row>
    <row r="36" spans="1:34" x14ac:dyDescent="0.6">
      <c r="A36" s="6" t="s">
        <v>439</v>
      </c>
      <c r="B36" s="24">
        <v>10</v>
      </c>
      <c r="C36" s="12" t="s">
        <v>970</v>
      </c>
      <c r="D36" s="13" t="s">
        <v>978</v>
      </c>
      <c r="E36" s="13" t="s">
        <v>982</v>
      </c>
      <c r="F36" s="10">
        <v>5</v>
      </c>
      <c r="G36" s="43" t="str">
        <f t="shared" si="0"/>
        <v>10_10-20_10-15_40-60</v>
      </c>
      <c r="H36">
        <v>264</v>
      </c>
      <c r="I36">
        <v>264</v>
      </c>
      <c r="J36" s="22">
        <v>0.21</v>
      </c>
      <c r="K36" s="66">
        <f t="shared" si="1"/>
        <v>0</v>
      </c>
      <c r="L36" s="10"/>
      <c r="M36" s="1">
        <v>264</v>
      </c>
      <c r="N36" s="1">
        <v>264</v>
      </c>
      <c r="O36" s="62">
        <v>1.01</v>
      </c>
      <c r="P36" s="66">
        <f t="shared" si="2"/>
        <v>0</v>
      </c>
      <c r="Q36" s="66">
        <f t="shared" si="3"/>
        <v>0</v>
      </c>
      <c r="S36">
        <v>264</v>
      </c>
      <c r="T36">
        <v>264</v>
      </c>
      <c r="U36" s="17">
        <v>3.8849425000000002</v>
      </c>
      <c r="V36" s="66">
        <f t="shared" si="4"/>
        <v>0</v>
      </c>
      <c r="W36" s="66">
        <f t="shared" si="5"/>
        <v>0</v>
      </c>
      <c r="Z36" s="4">
        <f t="shared" si="6"/>
        <v>0</v>
      </c>
      <c r="AA36" s="4">
        <f t="shared" si="7"/>
        <v>1</v>
      </c>
      <c r="AB36" s="4">
        <f t="shared" si="8"/>
        <v>0</v>
      </c>
      <c r="AC36" s="63"/>
      <c r="AD36" s="63"/>
      <c r="AF36" s="63">
        <f>IF($M36&lt;$S36,1,0)</f>
        <v>0</v>
      </c>
      <c r="AG36" s="63">
        <f>IF($M36=$S36,1,0)</f>
        <v>1</v>
      </c>
      <c r="AH36" s="63">
        <f>IF($M36&gt;$S36,1,0)</f>
        <v>0</v>
      </c>
    </row>
    <row r="37" spans="1:34" x14ac:dyDescent="0.6">
      <c r="A37" s="6" t="s">
        <v>440</v>
      </c>
      <c r="B37" s="24">
        <v>10</v>
      </c>
      <c r="C37" s="12" t="s">
        <v>970</v>
      </c>
      <c r="D37" s="13" t="s">
        <v>978</v>
      </c>
      <c r="E37" s="13" t="s">
        <v>982</v>
      </c>
      <c r="F37" s="10">
        <v>6</v>
      </c>
      <c r="G37" s="43" t="str">
        <f t="shared" si="0"/>
        <v>10_10-20_10-15_40-60</v>
      </c>
      <c r="H37">
        <v>281</v>
      </c>
      <c r="I37">
        <v>281</v>
      </c>
      <c r="J37" s="22">
        <v>0.44</v>
      </c>
      <c r="K37" s="66">
        <f t="shared" si="1"/>
        <v>0</v>
      </c>
      <c r="L37" s="10"/>
      <c r="M37" s="1">
        <v>281</v>
      </c>
      <c r="N37" s="1">
        <v>281</v>
      </c>
      <c r="O37" s="62">
        <v>1.01</v>
      </c>
      <c r="P37" s="66">
        <f t="shared" si="2"/>
        <v>0</v>
      </c>
      <c r="Q37" s="66">
        <f t="shared" si="3"/>
        <v>0</v>
      </c>
      <c r="S37">
        <v>281</v>
      </c>
      <c r="T37">
        <v>281</v>
      </c>
      <c r="U37" s="17">
        <v>3.6923449399999999</v>
      </c>
      <c r="V37" s="66">
        <f t="shared" si="4"/>
        <v>0</v>
      </c>
      <c r="W37" s="66">
        <f t="shared" si="5"/>
        <v>0</v>
      </c>
      <c r="Z37" s="4">
        <f t="shared" si="6"/>
        <v>0</v>
      </c>
      <c r="AA37" s="4">
        <f t="shared" si="7"/>
        <v>1</v>
      </c>
      <c r="AB37" s="4">
        <f t="shared" si="8"/>
        <v>0</v>
      </c>
      <c r="AC37" s="63"/>
      <c r="AD37" s="63"/>
      <c r="AF37" s="63">
        <f>IF($M37&lt;$S37,1,0)</f>
        <v>0</v>
      </c>
      <c r="AG37" s="63">
        <f>IF($M37=$S37,1,0)</f>
        <v>1</v>
      </c>
      <c r="AH37" s="63">
        <f>IF($M37&gt;$S37,1,0)</f>
        <v>0</v>
      </c>
    </row>
    <row r="38" spans="1:34" x14ac:dyDescent="0.6">
      <c r="A38" s="6" t="s">
        <v>441</v>
      </c>
      <c r="B38" s="24">
        <v>10</v>
      </c>
      <c r="C38" s="12" t="s">
        <v>970</v>
      </c>
      <c r="D38" s="13" t="s">
        <v>978</v>
      </c>
      <c r="E38" s="13" t="s">
        <v>982</v>
      </c>
      <c r="F38" s="10">
        <v>7</v>
      </c>
      <c r="G38" s="43" t="str">
        <f t="shared" si="0"/>
        <v>10_10-20_10-15_40-60</v>
      </c>
      <c r="H38">
        <v>243</v>
      </c>
      <c r="I38">
        <v>243</v>
      </c>
      <c r="J38" s="22">
        <v>3.31</v>
      </c>
      <c r="K38" s="66">
        <f t="shared" si="1"/>
        <v>0</v>
      </c>
      <c r="L38" s="10"/>
      <c r="M38" s="1">
        <v>243</v>
      </c>
      <c r="N38" s="1">
        <v>243</v>
      </c>
      <c r="O38" s="62">
        <v>1.01</v>
      </c>
      <c r="P38" s="66">
        <f t="shared" si="2"/>
        <v>0</v>
      </c>
      <c r="Q38" s="66">
        <f t="shared" si="3"/>
        <v>0</v>
      </c>
      <c r="S38">
        <v>243</v>
      </c>
      <c r="T38">
        <v>245.6</v>
      </c>
      <c r="U38" s="17">
        <v>3.2191343400000001</v>
      </c>
      <c r="V38" s="66">
        <f t="shared" si="4"/>
        <v>0</v>
      </c>
      <c r="W38" s="66">
        <f t="shared" si="5"/>
        <v>1.0699588477366231</v>
      </c>
      <c r="Z38" s="4">
        <f t="shared" si="6"/>
        <v>0</v>
      </c>
      <c r="AA38" s="4">
        <f t="shared" si="7"/>
        <v>1</v>
      </c>
      <c r="AB38" s="4">
        <f t="shared" si="8"/>
        <v>0</v>
      </c>
      <c r="AC38" s="63"/>
      <c r="AD38" s="63"/>
      <c r="AF38" s="63">
        <f>IF($M38&lt;$S38,1,0)</f>
        <v>0</v>
      </c>
      <c r="AG38" s="63">
        <f>IF($M38=$S38,1,0)</f>
        <v>1</v>
      </c>
      <c r="AH38" s="63">
        <f>IF($M38&gt;$S38,1,0)</f>
        <v>0</v>
      </c>
    </row>
    <row r="39" spans="1:34" x14ac:dyDescent="0.6">
      <c r="A39" s="6" t="s">
        <v>442</v>
      </c>
      <c r="B39" s="24">
        <v>10</v>
      </c>
      <c r="C39" s="12" t="s">
        <v>970</v>
      </c>
      <c r="D39" s="13" t="s">
        <v>978</v>
      </c>
      <c r="E39" s="13" t="s">
        <v>982</v>
      </c>
      <c r="F39" s="10">
        <v>8</v>
      </c>
      <c r="G39" s="43" t="str">
        <f t="shared" si="0"/>
        <v>10_10-20_10-15_40-60</v>
      </c>
      <c r="H39">
        <v>240</v>
      </c>
      <c r="I39">
        <v>240</v>
      </c>
      <c r="J39" s="22">
        <v>5.26</v>
      </c>
      <c r="K39" s="66">
        <f t="shared" si="1"/>
        <v>0</v>
      </c>
      <c r="L39" s="10"/>
      <c r="M39" s="1">
        <v>240</v>
      </c>
      <c r="N39" s="1">
        <v>240</v>
      </c>
      <c r="O39" s="62">
        <v>1.01</v>
      </c>
      <c r="P39" s="66">
        <f t="shared" si="2"/>
        <v>0</v>
      </c>
      <c r="Q39" s="66">
        <f t="shared" si="3"/>
        <v>0</v>
      </c>
      <c r="S39">
        <v>240</v>
      </c>
      <c r="T39">
        <v>241</v>
      </c>
      <c r="U39" s="17">
        <v>3.25561992</v>
      </c>
      <c r="V39" s="66">
        <f t="shared" si="4"/>
        <v>0</v>
      </c>
      <c r="W39" s="66">
        <f t="shared" si="5"/>
        <v>0.41666666666666669</v>
      </c>
      <c r="Z39" s="4">
        <f t="shared" si="6"/>
        <v>0</v>
      </c>
      <c r="AA39" s="4">
        <f t="shared" si="7"/>
        <v>1</v>
      </c>
      <c r="AB39" s="4">
        <f t="shared" si="8"/>
        <v>0</v>
      </c>
      <c r="AC39" s="63"/>
      <c r="AD39" s="63"/>
      <c r="AF39" s="63">
        <f>IF($M39&lt;$S39,1,0)</f>
        <v>0</v>
      </c>
      <c r="AG39" s="63">
        <f>IF($M39=$S39,1,0)</f>
        <v>1</v>
      </c>
      <c r="AH39" s="63">
        <f>IF($M39&gt;$S39,1,0)</f>
        <v>0</v>
      </c>
    </row>
    <row r="40" spans="1:34" x14ac:dyDescent="0.6">
      <c r="A40" s="6" t="s">
        <v>443</v>
      </c>
      <c r="B40" s="24">
        <v>10</v>
      </c>
      <c r="C40" s="12" t="s">
        <v>970</v>
      </c>
      <c r="D40" s="13" t="s">
        <v>978</v>
      </c>
      <c r="E40" s="13" t="s">
        <v>982</v>
      </c>
      <c r="F40" s="10">
        <v>9</v>
      </c>
      <c r="G40" s="43" t="str">
        <f t="shared" si="0"/>
        <v>10_10-20_10-15_40-60</v>
      </c>
      <c r="H40">
        <v>235</v>
      </c>
      <c r="I40">
        <v>235</v>
      </c>
      <c r="J40" s="22">
        <v>5.31</v>
      </c>
      <c r="K40" s="66">
        <f t="shared" si="1"/>
        <v>0</v>
      </c>
      <c r="L40" s="10"/>
      <c r="M40" s="1">
        <v>235</v>
      </c>
      <c r="N40" s="1">
        <v>235</v>
      </c>
      <c r="O40" s="62">
        <v>1.01</v>
      </c>
      <c r="P40" s="66">
        <f t="shared" si="2"/>
        <v>0</v>
      </c>
      <c r="Q40" s="66">
        <f t="shared" si="3"/>
        <v>0</v>
      </c>
      <c r="S40">
        <v>235</v>
      </c>
      <c r="T40">
        <v>236.8</v>
      </c>
      <c r="U40" s="17">
        <v>3.3080494200000001</v>
      </c>
      <c r="V40" s="66">
        <f t="shared" si="4"/>
        <v>0</v>
      </c>
      <c r="W40" s="66">
        <f t="shared" si="5"/>
        <v>0.76595744680851541</v>
      </c>
      <c r="Z40" s="4">
        <f t="shared" si="6"/>
        <v>0</v>
      </c>
      <c r="AA40" s="4">
        <f t="shared" si="7"/>
        <v>1</v>
      </c>
      <c r="AB40" s="4">
        <f t="shared" si="8"/>
        <v>0</v>
      </c>
      <c r="AC40" s="63"/>
      <c r="AD40" s="63"/>
      <c r="AF40" s="63">
        <f>IF($M40&lt;$S40,1,0)</f>
        <v>0</v>
      </c>
      <c r="AG40" s="63">
        <f>IF($M40=$S40,1,0)</f>
        <v>1</v>
      </c>
      <c r="AH40" s="63">
        <f>IF($M40&gt;$S40,1,0)</f>
        <v>0</v>
      </c>
    </row>
    <row r="41" spans="1:34" x14ac:dyDescent="0.6">
      <c r="A41" s="6" t="s">
        <v>444</v>
      </c>
      <c r="B41" s="24">
        <v>10</v>
      </c>
      <c r="C41" s="12" t="s">
        <v>970</v>
      </c>
      <c r="D41" s="13" t="s">
        <v>978</v>
      </c>
      <c r="E41" s="13" t="s">
        <v>982</v>
      </c>
      <c r="F41" s="10">
        <v>10</v>
      </c>
      <c r="G41" s="43" t="str">
        <f t="shared" si="0"/>
        <v>10_10-20_10-15_40-60</v>
      </c>
      <c r="H41">
        <v>255</v>
      </c>
      <c r="I41">
        <v>255</v>
      </c>
      <c r="J41" s="22">
        <v>2.39</v>
      </c>
      <c r="K41" s="66">
        <f t="shared" si="1"/>
        <v>0</v>
      </c>
      <c r="L41" s="10"/>
      <c r="M41" s="1">
        <v>255</v>
      </c>
      <c r="N41" s="1">
        <v>255</v>
      </c>
      <c r="O41" s="62">
        <v>1.01</v>
      </c>
      <c r="P41" s="66">
        <f t="shared" si="2"/>
        <v>0</v>
      </c>
      <c r="Q41" s="66">
        <f t="shared" si="3"/>
        <v>0</v>
      </c>
      <c r="S41">
        <v>255</v>
      </c>
      <c r="T41">
        <v>256.2</v>
      </c>
      <c r="U41" s="17">
        <v>3.49829788</v>
      </c>
      <c r="V41" s="66">
        <f t="shared" si="4"/>
        <v>0</v>
      </c>
      <c r="W41" s="66">
        <f t="shared" si="5"/>
        <v>0.4705882352941132</v>
      </c>
      <c r="Z41" s="4">
        <f t="shared" si="6"/>
        <v>0</v>
      </c>
      <c r="AA41" s="4">
        <f t="shared" si="7"/>
        <v>1</v>
      </c>
      <c r="AB41" s="4">
        <f t="shared" si="8"/>
        <v>0</v>
      </c>
      <c r="AC41" s="63"/>
      <c r="AD41" s="63"/>
      <c r="AF41" s="63">
        <f>IF($M41&lt;$S41,1,0)</f>
        <v>0</v>
      </c>
      <c r="AG41" s="63">
        <f>IF($M41=$S41,1,0)</f>
        <v>1</v>
      </c>
      <c r="AH41" s="63">
        <f>IF($M41&gt;$S41,1,0)</f>
        <v>0</v>
      </c>
    </row>
    <row r="42" spans="1:34" x14ac:dyDescent="0.6">
      <c r="A42" s="6" t="s">
        <v>445</v>
      </c>
      <c r="B42" s="24">
        <v>10</v>
      </c>
      <c r="C42" s="13" t="s">
        <v>974</v>
      </c>
      <c r="D42" s="13" t="s">
        <v>977</v>
      </c>
      <c r="E42" s="13" t="s">
        <v>981</v>
      </c>
      <c r="F42" s="10">
        <v>1</v>
      </c>
      <c r="G42" s="43" t="str">
        <f t="shared" si="0"/>
        <v>10_20-30_5-10_20-40</v>
      </c>
      <c r="H42">
        <v>291</v>
      </c>
      <c r="I42">
        <v>291</v>
      </c>
      <c r="J42" s="22">
        <v>4.93</v>
      </c>
      <c r="K42" s="66">
        <f t="shared" si="1"/>
        <v>0</v>
      </c>
      <c r="L42" s="10"/>
      <c r="M42" s="1">
        <v>291</v>
      </c>
      <c r="N42" s="1">
        <v>291</v>
      </c>
      <c r="O42" s="62">
        <v>1.01</v>
      </c>
      <c r="P42" s="66">
        <f t="shared" si="2"/>
        <v>0</v>
      </c>
      <c r="Q42" s="66">
        <f t="shared" si="3"/>
        <v>0</v>
      </c>
      <c r="S42">
        <v>291</v>
      </c>
      <c r="T42">
        <v>291.8</v>
      </c>
      <c r="U42" s="17">
        <v>3.4331894200000002</v>
      </c>
      <c r="V42" s="66">
        <f t="shared" si="4"/>
        <v>0</v>
      </c>
      <c r="W42" s="66">
        <f t="shared" si="5"/>
        <v>0.27491408934708295</v>
      </c>
      <c r="Z42" s="4">
        <f t="shared" si="6"/>
        <v>0</v>
      </c>
      <c r="AA42" s="4">
        <f t="shared" si="7"/>
        <v>1</v>
      </c>
      <c r="AB42" s="4">
        <f t="shared" si="8"/>
        <v>0</v>
      </c>
      <c r="AC42" s="63"/>
      <c r="AD42" s="63"/>
      <c r="AF42" s="63">
        <f>IF($M42&lt;$S42,1,0)</f>
        <v>0</v>
      </c>
      <c r="AG42" s="63">
        <f>IF($M42=$S42,1,0)</f>
        <v>1</v>
      </c>
      <c r="AH42" s="63">
        <f>IF($M42&gt;$S42,1,0)</f>
        <v>0</v>
      </c>
    </row>
    <row r="43" spans="1:34" x14ac:dyDescent="0.6">
      <c r="A43" s="6" t="s">
        <v>446</v>
      </c>
      <c r="B43" s="24">
        <v>10</v>
      </c>
      <c r="C43" s="13" t="s">
        <v>974</v>
      </c>
      <c r="D43" s="13" t="s">
        <v>977</v>
      </c>
      <c r="E43" s="13" t="s">
        <v>981</v>
      </c>
      <c r="F43" s="10">
        <v>2</v>
      </c>
      <c r="G43" s="43" t="str">
        <f t="shared" si="0"/>
        <v>10_20-30_5-10_20-40</v>
      </c>
      <c r="H43">
        <v>286</v>
      </c>
      <c r="I43">
        <v>286</v>
      </c>
      <c r="J43" s="22">
        <v>2.93</v>
      </c>
      <c r="K43" s="66">
        <f t="shared" si="1"/>
        <v>0</v>
      </c>
      <c r="L43" s="10"/>
      <c r="M43" s="1">
        <v>286</v>
      </c>
      <c r="N43" s="1">
        <v>286</v>
      </c>
      <c r="O43" s="62">
        <v>1.01</v>
      </c>
      <c r="P43" s="66">
        <f t="shared" si="2"/>
        <v>0</v>
      </c>
      <c r="Q43" s="66">
        <f t="shared" si="3"/>
        <v>0</v>
      </c>
      <c r="S43">
        <v>286</v>
      </c>
      <c r="T43">
        <v>287.2</v>
      </c>
      <c r="U43" s="17">
        <v>3.5540022800000002</v>
      </c>
      <c r="V43" s="66">
        <f t="shared" si="4"/>
        <v>0</v>
      </c>
      <c r="W43" s="66">
        <f t="shared" si="5"/>
        <v>0.41958041958041559</v>
      </c>
      <c r="Z43" s="4">
        <f t="shared" si="6"/>
        <v>0</v>
      </c>
      <c r="AA43" s="4">
        <f t="shared" si="7"/>
        <v>1</v>
      </c>
      <c r="AB43" s="4">
        <f t="shared" si="8"/>
        <v>0</v>
      </c>
      <c r="AC43" s="63"/>
      <c r="AD43" s="63"/>
      <c r="AF43" s="63">
        <f>IF($M43&lt;$S43,1,0)</f>
        <v>0</v>
      </c>
      <c r="AG43" s="63">
        <f>IF($M43=$S43,1,0)</f>
        <v>1</v>
      </c>
      <c r="AH43" s="63">
        <f>IF($M43&gt;$S43,1,0)</f>
        <v>0</v>
      </c>
    </row>
    <row r="44" spans="1:34" x14ac:dyDescent="0.6">
      <c r="A44" s="6" t="s">
        <v>447</v>
      </c>
      <c r="B44" s="24">
        <v>10</v>
      </c>
      <c r="C44" s="13" t="s">
        <v>973</v>
      </c>
      <c r="D44" s="13" t="s">
        <v>976</v>
      </c>
      <c r="E44" s="13" t="s">
        <v>980</v>
      </c>
      <c r="F44" s="10">
        <v>3</v>
      </c>
      <c r="G44" s="43" t="str">
        <f t="shared" si="0"/>
        <v>10_20-30_5-10_20-40</v>
      </c>
      <c r="H44">
        <v>290</v>
      </c>
      <c r="I44">
        <v>290</v>
      </c>
      <c r="J44" s="22">
        <v>8.16</v>
      </c>
      <c r="K44" s="66">
        <f t="shared" si="1"/>
        <v>0</v>
      </c>
      <c r="L44" s="10"/>
      <c r="M44" s="1">
        <v>290</v>
      </c>
      <c r="N44" s="1">
        <v>290</v>
      </c>
      <c r="O44" s="62">
        <v>1.01</v>
      </c>
      <c r="P44" s="66">
        <f t="shared" si="2"/>
        <v>0</v>
      </c>
      <c r="Q44" s="66">
        <f t="shared" si="3"/>
        <v>0</v>
      </c>
      <c r="S44">
        <v>290</v>
      </c>
      <c r="T44">
        <v>290.8</v>
      </c>
      <c r="U44" s="17">
        <v>3.6361996799999998</v>
      </c>
      <c r="V44" s="66">
        <f t="shared" si="4"/>
        <v>0</v>
      </c>
      <c r="W44" s="66">
        <f t="shared" si="5"/>
        <v>0.27586206896552118</v>
      </c>
      <c r="Z44" s="4">
        <f t="shared" si="6"/>
        <v>0</v>
      </c>
      <c r="AA44" s="4">
        <f t="shared" si="7"/>
        <v>1</v>
      </c>
      <c r="AB44" s="4">
        <f t="shared" si="8"/>
        <v>0</v>
      </c>
      <c r="AC44" s="63"/>
      <c r="AD44" s="63"/>
      <c r="AF44" s="63">
        <f>IF($M44&lt;$S44,1,0)</f>
        <v>0</v>
      </c>
      <c r="AG44" s="63">
        <f>IF($M44=$S44,1,0)</f>
        <v>1</v>
      </c>
      <c r="AH44" s="63">
        <f>IF($M44&gt;$S44,1,0)</f>
        <v>0</v>
      </c>
    </row>
    <row r="45" spans="1:34" x14ac:dyDescent="0.6">
      <c r="A45" s="6" t="s">
        <v>448</v>
      </c>
      <c r="B45" s="24">
        <v>10</v>
      </c>
      <c r="C45" s="13" t="s">
        <v>973</v>
      </c>
      <c r="D45" s="13" t="s">
        <v>976</v>
      </c>
      <c r="E45" s="13" t="s">
        <v>980</v>
      </c>
      <c r="F45" s="10">
        <v>4</v>
      </c>
      <c r="G45" s="43" t="str">
        <f t="shared" si="0"/>
        <v>10_20-30_5-10_20-40</v>
      </c>
      <c r="H45">
        <v>296</v>
      </c>
      <c r="I45">
        <v>296</v>
      </c>
      <c r="J45" s="22">
        <v>3.84</v>
      </c>
      <c r="K45" s="66">
        <f t="shared" si="1"/>
        <v>0</v>
      </c>
      <c r="L45" s="10"/>
      <c r="M45" s="1">
        <v>296</v>
      </c>
      <c r="N45" s="1">
        <v>296</v>
      </c>
      <c r="O45" s="62">
        <v>1.01</v>
      </c>
      <c r="P45" s="66">
        <f t="shared" si="2"/>
        <v>0</v>
      </c>
      <c r="Q45" s="66">
        <f t="shared" si="3"/>
        <v>0</v>
      </c>
      <c r="S45">
        <v>296</v>
      </c>
      <c r="T45">
        <v>297.60000000000002</v>
      </c>
      <c r="U45" s="17">
        <v>3.38394584</v>
      </c>
      <c r="V45" s="66">
        <f t="shared" si="4"/>
        <v>0</v>
      </c>
      <c r="W45" s="66">
        <f t="shared" si="5"/>
        <v>0.54054054054054823</v>
      </c>
      <c r="Z45" s="4">
        <f t="shared" si="6"/>
        <v>0</v>
      </c>
      <c r="AA45" s="4">
        <f t="shared" si="7"/>
        <v>1</v>
      </c>
      <c r="AB45" s="4">
        <f t="shared" si="8"/>
        <v>0</v>
      </c>
      <c r="AC45" s="63"/>
      <c r="AD45" s="63"/>
      <c r="AF45" s="63">
        <f>IF($M45&lt;$S45,1,0)</f>
        <v>0</v>
      </c>
      <c r="AG45" s="63">
        <f>IF($M45=$S45,1,0)</f>
        <v>1</v>
      </c>
      <c r="AH45" s="63">
        <f>IF($M45&gt;$S45,1,0)</f>
        <v>0</v>
      </c>
    </row>
    <row r="46" spans="1:34" x14ac:dyDescent="0.6">
      <c r="A46" s="6" t="s">
        <v>449</v>
      </c>
      <c r="B46" s="24">
        <v>10</v>
      </c>
      <c r="C46" s="13" t="s">
        <v>973</v>
      </c>
      <c r="D46" s="13" t="s">
        <v>976</v>
      </c>
      <c r="E46" s="13" t="s">
        <v>980</v>
      </c>
      <c r="F46" s="10">
        <v>5</v>
      </c>
      <c r="G46" s="43" t="str">
        <f t="shared" si="0"/>
        <v>10_20-30_5-10_20-40</v>
      </c>
      <c r="H46">
        <v>301</v>
      </c>
      <c r="I46">
        <v>301</v>
      </c>
      <c r="J46" s="22">
        <v>1.93</v>
      </c>
      <c r="K46" s="66">
        <f t="shared" si="1"/>
        <v>0</v>
      </c>
      <c r="L46" s="10"/>
      <c r="M46" s="1">
        <v>301</v>
      </c>
      <c r="N46" s="1">
        <v>301</v>
      </c>
      <c r="O46" s="62">
        <v>1.01</v>
      </c>
      <c r="P46" s="66">
        <f t="shared" si="2"/>
        <v>0</v>
      </c>
      <c r="Q46" s="66">
        <f t="shared" si="3"/>
        <v>0</v>
      </c>
      <c r="S46">
        <v>301</v>
      </c>
      <c r="T46">
        <v>301.60000000000002</v>
      </c>
      <c r="U46" s="17">
        <v>3.8134340799999999</v>
      </c>
      <c r="V46" s="66">
        <f t="shared" si="4"/>
        <v>0</v>
      </c>
      <c r="W46" s="66">
        <f t="shared" si="5"/>
        <v>0.19933554817276505</v>
      </c>
      <c r="Z46" s="4">
        <f t="shared" si="6"/>
        <v>0</v>
      </c>
      <c r="AA46" s="4">
        <f t="shared" si="7"/>
        <v>1</v>
      </c>
      <c r="AB46" s="4">
        <f t="shared" si="8"/>
        <v>0</v>
      </c>
      <c r="AC46" s="63"/>
      <c r="AD46" s="63"/>
      <c r="AF46" s="63">
        <f>IF($M46&lt;$S46,1,0)</f>
        <v>0</v>
      </c>
      <c r="AG46" s="63">
        <f>IF($M46=$S46,1,0)</f>
        <v>1</v>
      </c>
      <c r="AH46" s="63">
        <f>IF($M46&gt;$S46,1,0)</f>
        <v>0</v>
      </c>
    </row>
    <row r="47" spans="1:34" x14ac:dyDescent="0.6">
      <c r="A47" s="6" t="s">
        <v>450</v>
      </c>
      <c r="B47" s="24">
        <v>10</v>
      </c>
      <c r="C47" s="13" t="s">
        <v>973</v>
      </c>
      <c r="D47" s="13" t="s">
        <v>976</v>
      </c>
      <c r="E47" s="13" t="s">
        <v>980</v>
      </c>
      <c r="F47" s="10">
        <v>6</v>
      </c>
      <c r="G47" s="43" t="str">
        <f t="shared" si="0"/>
        <v>10_20-30_5-10_20-40</v>
      </c>
      <c r="H47">
        <v>319</v>
      </c>
      <c r="I47">
        <v>319</v>
      </c>
      <c r="J47" s="22">
        <v>1.41</v>
      </c>
      <c r="K47" s="66">
        <f t="shared" si="1"/>
        <v>0</v>
      </c>
      <c r="L47" s="10"/>
      <c r="M47" s="1">
        <v>319</v>
      </c>
      <c r="N47" s="1">
        <v>319</v>
      </c>
      <c r="O47" s="62">
        <v>1.01</v>
      </c>
      <c r="P47" s="66">
        <f t="shared" si="2"/>
        <v>0</v>
      </c>
      <c r="Q47" s="66">
        <f t="shared" si="3"/>
        <v>0</v>
      </c>
      <c r="S47">
        <v>319</v>
      </c>
      <c r="T47">
        <v>319</v>
      </c>
      <c r="U47" s="17">
        <v>3.7078115999999999</v>
      </c>
      <c r="V47" s="66">
        <f t="shared" si="4"/>
        <v>0</v>
      </c>
      <c r="W47" s="66">
        <f t="shared" si="5"/>
        <v>0</v>
      </c>
      <c r="Z47" s="4">
        <f t="shared" si="6"/>
        <v>0</v>
      </c>
      <c r="AA47" s="4">
        <f t="shared" si="7"/>
        <v>1</v>
      </c>
      <c r="AB47" s="4">
        <f t="shared" si="8"/>
        <v>0</v>
      </c>
      <c r="AC47" s="63"/>
      <c r="AD47" s="63"/>
      <c r="AF47" s="63">
        <f>IF($M47&lt;$S47,1,0)</f>
        <v>0</v>
      </c>
      <c r="AG47" s="63">
        <f>IF($M47=$S47,1,0)</f>
        <v>1</v>
      </c>
      <c r="AH47" s="63">
        <f>IF($M47&gt;$S47,1,0)</f>
        <v>0</v>
      </c>
    </row>
    <row r="48" spans="1:34" x14ac:dyDescent="0.6">
      <c r="A48" s="6" t="s">
        <v>451</v>
      </c>
      <c r="B48" s="24">
        <v>10</v>
      </c>
      <c r="C48" s="13" t="s">
        <v>973</v>
      </c>
      <c r="D48" s="13" t="s">
        <v>976</v>
      </c>
      <c r="E48" s="13" t="s">
        <v>980</v>
      </c>
      <c r="F48" s="10">
        <v>7</v>
      </c>
      <c r="G48" s="43" t="str">
        <f t="shared" si="0"/>
        <v>10_20-30_5-10_20-40</v>
      </c>
      <c r="H48">
        <v>298</v>
      </c>
      <c r="I48">
        <v>298</v>
      </c>
      <c r="J48" s="22">
        <v>4.33</v>
      </c>
      <c r="K48" s="66">
        <f t="shared" si="1"/>
        <v>0</v>
      </c>
      <c r="L48" s="10"/>
      <c r="M48" s="1">
        <v>298</v>
      </c>
      <c r="N48" s="1">
        <v>298</v>
      </c>
      <c r="O48" s="62">
        <v>1.01</v>
      </c>
      <c r="P48" s="66">
        <f t="shared" si="2"/>
        <v>0</v>
      </c>
      <c r="Q48" s="66">
        <f t="shared" si="3"/>
        <v>0</v>
      </c>
      <c r="S48">
        <v>298</v>
      </c>
      <c r="T48">
        <v>299.39999999999998</v>
      </c>
      <c r="U48" s="17">
        <v>3.2512908600000001</v>
      </c>
      <c r="V48" s="66">
        <f t="shared" si="4"/>
        <v>0</v>
      </c>
      <c r="W48" s="66">
        <f t="shared" si="5"/>
        <v>0.46979865771811313</v>
      </c>
      <c r="Z48" s="4">
        <f t="shared" si="6"/>
        <v>0</v>
      </c>
      <c r="AA48" s="4">
        <f t="shared" si="7"/>
        <v>1</v>
      </c>
      <c r="AB48" s="4">
        <f t="shared" si="8"/>
        <v>0</v>
      </c>
      <c r="AC48" s="63"/>
      <c r="AD48" s="63"/>
      <c r="AF48" s="63">
        <f>IF($M48&lt;$S48,1,0)</f>
        <v>0</v>
      </c>
      <c r="AG48" s="63">
        <f>IF($M48=$S48,1,0)</f>
        <v>1</v>
      </c>
      <c r="AH48" s="63">
        <f>IF($M48&gt;$S48,1,0)</f>
        <v>0</v>
      </c>
    </row>
    <row r="49" spans="1:34" x14ac:dyDescent="0.6">
      <c r="A49" s="6" t="s">
        <v>452</v>
      </c>
      <c r="B49" s="24">
        <v>10</v>
      </c>
      <c r="C49" s="13" t="s">
        <v>973</v>
      </c>
      <c r="D49" s="13" t="s">
        <v>976</v>
      </c>
      <c r="E49" s="13" t="s">
        <v>980</v>
      </c>
      <c r="F49" s="10">
        <v>8</v>
      </c>
      <c r="G49" s="43" t="str">
        <f t="shared" si="0"/>
        <v>10_20-30_5-10_20-40</v>
      </c>
      <c r="H49">
        <v>295</v>
      </c>
      <c r="I49">
        <v>295</v>
      </c>
      <c r="J49" s="22">
        <v>13.1</v>
      </c>
      <c r="K49" s="66">
        <f t="shared" si="1"/>
        <v>0</v>
      </c>
      <c r="L49" s="10"/>
      <c r="M49" s="1">
        <v>295</v>
      </c>
      <c r="N49" s="1">
        <v>295</v>
      </c>
      <c r="O49" s="62">
        <v>1.01</v>
      </c>
      <c r="P49" s="66">
        <f t="shared" si="2"/>
        <v>0</v>
      </c>
      <c r="Q49" s="66">
        <f t="shared" si="3"/>
        <v>0</v>
      </c>
      <c r="S49">
        <v>295</v>
      </c>
      <c r="T49">
        <v>296.39999999999998</v>
      </c>
      <c r="U49" s="17">
        <v>3.2564365799999999</v>
      </c>
      <c r="V49" s="66">
        <f t="shared" si="4"/>
        <v>0</v>
      </c>
      <c r="W49" s="66">
        <f t="shared" si="5"/>
        <v>0.47457627118643292</v>
      </c>
      <c r="Z49" s="4">
        <f t="shared" si="6"/>
        <v>0</v>
      </c>
      <c r="AA49" s="4">
        <f t="shared" si="7"/>
        <v>1</v>
      </c>
      <c r="AB49" s="4">
        <f t="shared" si="8"/>
        <v>0</v>
      </c>
      <c r="AC49" s="63"/>
      <c r="AD49" s="63"/>
      <c r="AF49" s="63">
        <f>IF($M49&lt;$S49,1,0)</f>
        <v>0</v>
      </c>
      <c r="AG49" s="63">
        <f>IF($M49=$S49,1,0)</f>
        <v>1</v>
      </c>
      <c r="AH49" s="63">
        <f>IF($M49&gt;$S49,1,0)</f>
        <v>0</v>
      </c>
    </row>
    <row r="50" spans="1:34" x14ac:dyDescent="0.6">
      <c r="A50" s="6" t="s">
        <v>453</v>
      </c>
      <c r="B50" s="24">
        <v>10</v>
      </c>
      <c r="C50" s="13" t="s">
        <v>973</v>
      </c>
      <c r="D50" s="13" t="s">
        <v>976</v>
      </c>
      <c r="E50" s="13" t="s">
        <v>980</v>
      </c>
      <c r="F50" s="10">
        <v>9</v>
      </c>
      <c r="G50" s="43" t="str">
        <f t="shared" si="0"/>
        <v>10_20-30_5-10_20-40</v>
      </c>
      <c r="H50">
        <v>290</v>
      </c>
      <c r="I50">
        <v>290</v>
      </c>
      <c r="J50" s="22">
        <v>5.07</v>
      </c>
      <c r="K50" s="66">
        <f t="shared" si="1"/>
        <v>0</v>
      </c>
      <c r="L50" s="10"/>
      <c r="M50" s="1">
        <v>290</v>
      </c>
      <c r="N50" s="1">
        <v>290</v>
      </c>
      <c r="O50" s="62">
        <v>1</v>
      </c>
      <c r="P50" s="66">
        <f t="shared" si="2"/>
        <v>0</v>
      </c>
      <c r="Q50" s="66">
        <f t="shared" si="3"/>
        <v>0</v>
      </c>
      <c r="S50">
        <v>290</v>
      </c>
      <c r="T50">
        <v>291.2</v>
      </c>
      <c r="U50" s="17">
        <v>3.3211385600000001</v>
      </c>
      <c r="V50" s="66">
        <f t="shared" si="4"/>
        <v>0</v>
      </c>
      <c r="W50" s="66">
        <f t="shared" si="5"/>
        <v>0.41379310344827197</v>
      </c>
      <c r="Z50" s="4">
        <f t="shared" si="6"/>
        <v>0</v>
      </c>
      <c r="AA50" s="4">
        <f t="shared" si="7"/>
        <v>1</v>
      </c>
      <c r="AB50" s="4">
        <f t="shared" si="8"/>
        <v>0</v>
      </c>
      <c r="AC50" s="63"/>
      <c r="AD50" s="63"/>
      <c r="AF50" s="63">
        <f>IF($M50&lt;$S50,1,0)</f>
        <v>0</v>
      </c>
      <c r="AG50" s="63">
        <f>IF($M50=$S50,1,0)</f>
        <v>1</v>
      </c>
      <c r="AH50" s="63">
        <f>IF($M50&gt;$S50,1,0)</f>
        <v>0</v>
      </c>
    </row>
    <row r="51" spans="1:34" x14ac:dyDescent="0.6">
      <c r="A51" s="6" t="s">
        <v>454</v>
      </c>
      <c r="B51" s="24">
        <v>10</v>
      </c>
      <c r="C51" s="13" t="s">
        <v>973</v>
      </c>
      <c r="D51" s="13" t="s">
        <v>976</v>
      </c>
      <c r="E51" s="13" t="s">
        <v>980</v>
      </c>
      <c r="F51" s="10">
        <v>10</v>
      </c>
      <c r="G51" s="43" t="str">
        <f t="shared" si="0"/>
        <v>10_20-30_5-10_20-40</v>
      </c>
      <c r="H51">
        <v>307</v>
      </c>
      <c r="I51">
        <v>307</v>
      </c>
      <c r="J51" s="22">
        <v>2.64</v>
      </c>
      <c r="K51" s="66">
        <f t="shared" si="1"/>
        <v>0</v>
      </c>
      <c r="L51" s="10"/>
      <c r="M51" s="1">
        <v>307</v>
      </c>
      <c r="N51" s="1">
        <v>307</v>
      </c>
      <c r="O51" s="62">
        <v>1.01</v>
      </c>
      <c r="P51" s="66">
        <f t="shared" si="2"/>
        <v>0</v>
      </c>
      <c r="Q51" s="66">
        <f t="shared" si="3"/>
        <v>0</v>
      </c>
      <c r="S51">
        <v>307</v>
      </c>
      <c r="T51">
        <v>308.8</v>
      </c>
      <c r="U51" s="17">
        <v>3.7886167799999999</v>
      </c>
      <c r="V51" s="66">
        <f t="shared" si="4"/>
        <v>0</v>
      </c>
      <c r="W51" s="66">
        <f t="shared" si="5"/>
        <v>0.58631921824104605</v>
      </c>
      <c r="Z51" s="4">
        <f t="shared" si="6"/>
        <v>0</v>
      </c>
      <c r="AA51" s="4">
        <f t="shared" si="7"/>
        <v>1</v>
      </c>
      <c r="AB51" s="4">
        <f t="shared" si="8"/>
        <v>0</v>
      </c>
      <c r="AC51" s="63"/>
      <c r="AD51" s="63"/>
      <c r="AF51" s="63">
        <f>IF($M51&lt;$S51,1,0)</f>
        <v>0</v>
      </c>
      <c r="AG51" s="63">
        <f>IF($M51=$S51,1,0)</f>
        <v>1</v>
      </c>
      <c r="AH51" s="63">
        <f>IF($M51&gt;$S51,1,0)</f>
        <v>0</v>
      </c>
    </row>
    <row r="52" spans="1:34" x14ac:dyDescent="0.6">
      <c r="A52" s="6" t="s">
        <v>455</v>
      </c>
      <c r="B52" s="24">
        <v>10</v>
      </c>
      <c r="C52" s="13" t="s">
        <v>973</v>
      </c>
      <c r="D52" s="13" t="s">
        <v>976</v>
      </c>
      <c r="E52" s="13" t="s">
        <v>984</v>
      </c>
      <c r="F52" s="10">
        <v>1</v>
      </c>
      <c r="G52" s="43" t="str">
        <f t="shared" si="0"/>
        <v>10_20-30_5-10_40-60</v>
      </c>
      <c r="H52">
        <v>293</v>
      </c>
      <c r="I52">
        <v>293</v>
      </c>
      <c r="J52" s="22">
        <v>3.31</v>
      </c>
      <c r="K52" s="66">
        <f t="shared" si="1"/>
        <v>0</v>
      </c>
      <c r="L52" s="10"/>
      <c r="M52" s="1">
        <v>293</v>
      </c>
      <c r="N52" s="1">
        <v>293</v>
      </c>
      <c r="O52" s="62">
        <v>1.01</v>
      </c>
      <c r="P52" s="66">
        <f t="shared" si="2"/>
        <v>0</v>
      </c>
      <c r="Q52" s="66">
        <f t="shared" si="3"/>
        <v>0</v>
      </c>
      <c r="S52">
        <v>294</v>
      </c>
      <c r="T52">
        <v>294.39999999999998</v>
      </c>
      <c r="U52" s="17">
        <v>3.3134920000000001</v>
      </c>
      <c r="V52" s="66">
        <f t="shared" si="4"/>
        <v>0.34129692832764508</v>
      </c>
      <c r="W52" s="66">
        <f t="shared" si="5"/>
        <v>0.4778156996586953</v>
      </c>
      <c r="Z52" s="4">
        <f t="shared" si="6"/>
        <v>0</v>
      </c>
      <c r="AA52" s="4">
        <f t="shared" si="7"/>
        <v>1</v>
      </c>
      <c r="AB52" s="4">
        <f t="shared" si="8"/>
        <v>0</v>
      </c>
      <c r="AC52" s="63"/>
      <c r="AD52" s="63"/>
      <c r="AF52" s="63">
        <f>IF($M52&lt;$S52,1,0)</f>
        <v>1</v>
      </c>
      <c r="AG52" s="63">
        <f>IF($M52=$S52,1,0)</f>
        <v>0</v>
      </c>
      <c r="AH52" s="63">
        <f>IF($M52&gt;$S52,1,0)</f>
        <v>0</v>
      </c>
    </row>
    <row r="53" spans="1:34" x14ac:dyDescent="0.6">
      <c r="A53" s="6" t="s">
        <v>456</v>
      </c>
      <c r="B53" s="24">
        <v>10</v>
      </c>
      <c r="C53" s="13" t="s">
        <v>973</v>
      </c>
      <c r="D53" s="13" t="s">
        <v>976</v>
      </c>
      <c r="E53" s="13" t="s">
        <v>984</v>
      </c>
      <c r="F53" s="10">
        <v>2</v>
      </c>
      <c r="G53" s="43" t="str">
        <f t="shared" si="0"/>
        <v>10_20-30_5-10_40-60</v>
      </c>
      <c r="H53">
        <v>290</v>
      </c>
      <c r="I53">
        <v>290</v>
      </c>
      <c r="J53" s="22">
        <v>3.62</v>
      </c>
      <c r="K53" s="66">
        <f t="shared" si="1"/>
        <v>0</v>
      </c>
      <c r="L53" s="10"/>
      <c r="M53" s="1">
        <v>290</v>
      </c>
      <c r="N53" s="1">
        <v>290</v>
      </c>
      <c r="O53" s="62">
        <v>1.01</v>
      </c>
      <c r="P53" s="66">
        <f t="shared" si="2"/>
        <v>0</v>
      </c>
      <c r="Q53" s="66">
        <f t="shared" si="3"/>
        <v>0</v>
      </c>
      <c r="S53">
        <v>290</v>
      </c>
      <c r="T53">
        <v>292.39999999999998</v>
      </c>
      <c r="U53" s="17">
        <v>3.5373391999999999</v>
      </c>
      <c r="V53" s="66">
        <f t="shared" si="4"/>
        <v>0</v>
      </c>
      <c r="W53" s="66">
        <f t="shared" si="5"/>
        <v>0.82758620689654394</v>
      </c>
      <c r="Z53" s="4">
        <f t="shared" si="6"/>
        <v>0</v>
      </c>
      <c r="AA53" s="4">
        <f t="shared" si="7"/>
        <v>1</v>
      </c>
      <c r="AB53" s="4">
        <f t="shared" si="8"/>
        <v>0</v>
      </c>
      <c r="AC53" s="63"/>
      <c r="AD53" s="63"/>
      <c r="AF53" s="63">
        <f>IF($M53&lt;$S53,1,0)</f>
        <v>0</v>
      </c>
      <c r="AG53" s="63">
        <f>IF($M53=$S53,1,0)</f>
        <v>1</v>
      </c>
      <c r="AH53" s="63">
        <f>IF($M53&gt;$S53,1,0)</f>
        <v>0</v>
      </c>
    </row>
    <row r="54" spans="1:34" x14ac:dyDescent="0.6">
      <c r="A54" s="6" t="s">
        <v>457</v>
      </c>
      <c r="B54" s="24">
        <v>10</v>
      </c>
      <c r="C54" s="13" t="s">
        <v>973</v>
      </c>
      <c r="D54" s="13" t="s">
        <v>976</v>
      </c>
      <c r="E54" s="13" t="s">
        <v>982</v>
      </c>
      <c r="F54" s="10">
        <v>3</v>
      </c>
      <c r="G54" s="43" t="str">
        <f t="shared" si="0"/>
        <v>10_20-30_5-10_40-60</v>
      </c>
      <c r="H54">
        <v>290</v>
      </c>
      <c r="I54">
        <v>290</v>
      </c>
      <c r="J54" s="22">
        <v>5.78</v>
      </c>
      <c r="K54" s="66">
        <f t="shared" si="1"/>
        <v>0</v>
      </c>
      <c r="L54" s="10"/>
      <c r="M54" s="1">
        <v>290</v>
      </c>
      <c r="N54" s="1">
        <v>290</v>
      </c>
      <c r="O54" s="62">
        <v>1.01</v>
      </c>
      <c r="P54" s="66">
        <f t="shared" si="2"/>
        <v>0</v>
      </c>
      <c r="Q54" s="66">
        <f t="shared" si="3"/>
        <v>0</v>
      </c>
      <c r="S54">
        <v>290</v>
      </c>
      <c r="T54">
        <v>290.39999999999998</v>
      </c>
      <c r="U54" s="17">
        <v>3.1779492</v>
      </c>
      <c r="V54" s="66">
        <f t="shared" si="4"/>
        <v>0</v>
      </c>
      <c r="W54" s="66">
        <f t="shared" si="5"/>
        <v>0.13793103448275079</v>
      </c>
      <c r="Z54" s="4">
        <f t="shared" si="6"/>
        <v>0</v>
      </c>
      <c r="AA54" s="4">
        <f t="shared" si="7"/>
        <v>1</v>
      </c>
      <c r="AB54" s="4">
        <f t="shared" si="8"/>
        <v>0</v>
      </c>
      <c r="AC54" s="63"/>
      <c r="AD54" s="63"/>
      <c r="AF54" s="63">
        <f>IF($M54&lt;$S54,1,0)</f>
        <v>0</v>
      </c>
      <c r="AG54" s="63">
        <f>IF($M54=$S54,1,0)</f>
        <v>1</v>
      </c>
      <c r="AH54" s="63">
        <f>IF($M54&gt;$S54,1,0)</f>
        <v>0</v>
      </c>
    </row>
    <row r="55" spans="1:34" x14ac:dyDescent="0.6">
      <c r="A55" s="6" t="s">
        <v>458</v>
      </c>
      <c r="B55" s="24">
        <v>10</v>
      </c>
      <c r="C55" s="13" t="s">
        <v>973</v>
      </c>
      <c r="D55" s="13" t="s">
        <v>976</v>
      </c>
      <c r="E55" s="13" t="s">
        <v>982</v>
      </c>
      <c r="F55" s="10">
        <v>4</v>
      </c>
      <c r="G55" s="43" t="str">
        <f t="shared" si="0"/>
        <v>10_20-30_5-10_40-60</v>
      </c>
      <c r="H55">
        <v>296</v>
      </c>
      <c r="I55">
        <v>296</v>
      </c>
      <c r="J55" s="22">
        <v>4.33</v>
      </c>
      <c r="K55" s="66">
        <f t="shared" si="1"/>
        <v>0</v>
      </c>
      <c r="L55" s="10"/>
      <c r="M55" s="1">
        <v>296</v>
      </c>
      <c r="N55" s="1">
        <v>296</v>
      </c>
      <c r="O55" s="62">
        <v>1</v>
      </c>
      <c r="P55" s="66">
        <f t="shared" si="2"/>
        <v>0</v>
      </c>
      <c r="Q55" s="66">
        <f t="shared" si="3"/>
        <v>0</v>
      </c>
      <c r="S55">
        <v>297</v>
      </c>
      <c r="T55">
        <v>298.8</v>
      </c>
      <c r="U55" s="17">
        <v>3.5036819600000002</v>
      </c>
      <c r="V55" s="66">
        <f t="shared" si="4"/>
        <v>0.33783783783783783</v>
      </c>
      <c r="W55" s="66">
        <f t="shared" si="5"/>
        <v>0.94594594594594983</v>
      </c>
      <c r="Z55" s="4">
        <f t="shared" si="6"/>
        <v>0</v>
      </c>
      <c r="AA55" s="4">
        <f t="shared" si="7"/>
        <v>1</v>
      </c>
      <c r="AB55" s="4">
        <f t="shared" si="8"/>
        <v>0</v>
      </c>
      <c r="AC55" s="63"/>
      <c r="AD55" s="63"/>
      <c r="AF55" s="63">
        <f>IF($M55&lt;$S55,1,0)</f>
        <v>1</v>
      </c>
      <c r="AG55" s="63">
        <f>IF($M55=$S55,1,0)</f>
        <v>0</v>
      </c>
      <c r="AH55" s="63">
        <f>IF($M55&gt;$S55,1,0)</f>
        <v>0</v>
      </c>
    </row>
    <row r="56" spans="1:34" x14ac:dyDescent="0.6">
      <c r="A56" s="6" t="s">
        <v>459</v>
      </c>
      <c r="B56" s="24">
        <v>10</v>
      </c>
      <c r="C56" s="13" t="s">
        <v>973</v>
      </c>
      <c r="D56" s="13" t="s">
        <v>976</v>
      </c>
      <c r="E56" s="13" t="s">
        <v>982</v>
      </c>
      <c r="F56" s="10">
        <v>5</v>
      </c>
      <c r="G56" s="43" t="str">
        <f t="shared" si="0"/>
        <v>10_20-30_5-10_40-60</v>
      </c>
      <c r="H56">
        <v>317</v>
      </c>
      <c r="I56">
        <v>317</v>
      </c>
      <c r="J56" s="22">
        <v>0.18</v>
      </c>
      <c r="K56" s="66">
        <f t="shared" si="1"/>
        <v>0</v>
      </c>
      <c r="L56" s="10"/>
      <c r="M56" s="1">
        <v>317</v>
      </c>
      <c r="N56" s="1">
        <v>317</v>
      </c>
      <c r="O56" s="62">
        <v>1.01</v>
      </c>
      <c r="P56" s="66">
        <f t="shared" si="2"/>
        <v>0</v>
      </c>
      <c r="Q56" s="66">
        <f t="shared" si="3"/>
        <v>0</v>
      </c>
      <c r="S56">
        <v>317</v>
      </c>
      <c r="T56">
        <v>317</v>
      </c>
      <c r="U56" s="17">
        <v>3.8675996399999999</v>
      </c>
      <c r="V56" s="66">
        <f t="shared" si="4"/>
        <v>0</v>
      </c>
      <c r="W56" s="66">
        <f t="shared" si="5"/>
        <v>0</v>
      </c>
      <c r="Z56" s="4">
        <f t="shared" si="6"/>
        <v>0</v>
      </c>
      <c r="AA56" s="4">
        <f t="shared" si="7"/>
        <v>1</v>
      </c>
      <c r="AB56" s="4">
        <f t="shared" si="8"/>
        <v>0</v>
      </c>
      <c r="AC56" s="63"/>
      <c r="AD56" s="63"/>
      <c r="AF56" s="63">
        <f>IF($M56&lt;$S56,1,0)</f>
        <v>0</v>
      </c>
      <c r="AG56" s="63">
        <f>IF($M56=$S56,1,0)</f>
        <v>1</v>
      </c>
      <c r="AH56" s="63">
        <f>IF($M56&gt;$S56,1,0)</f>
        <v>0</v>
      </c>
    </row>
    <row r="57" spans="1:34" x14ac:dyDescent="0.6">
      <c r="A57" s="6" t="s">
        <v>460</v>
      </c>
      <c r="B57" s="24">
        <v>10</v>
      </c>
      <c r="C57" s="13" t="s">
        <v>973</v>
      </c>
      <c r="D57" s="13" t="s">
        <v>976</v>
      </c>
      <c r="E57" s="13" t="s">
        <v>982</v>
      </c>
      <c r="F57" s="10">
        <v>6</v>
      </c>
      <c r="G57" s="43" t="str">
        <f t="shared" si="0"/>
        <v>10_20-30_5-10_40-60</v>
      </c>
      <c r="H57">
        <v>336</v>
      </c>
      <c r="I57">
        <v>336</v>
      </c>
      <c r="J57" s="22">
        <v>0.14000000000000001</v>
      </c>
      <c r="K57" s="66">
        <f t="shared" si="1"/>
        <v>0</v>
      </c>
      <c r="L57" s="10"/>
      <c r="M57" s="1">
        <v>336</v>
      </c>
      <c r="N57" s="1">
        <v>336</v>
      </c>
      <c r="O57" s="62">
        <v>1.01</v>
      </c>
      <c r="P57" s="66">
        <f t="shared" si="2"/>
        <v>0</v>
      </c>
      <c r="Q57" s="66">
        <f t="shared" si="3"/>
        <v>0</v>
      </c>
      <c r="S57">
        <v>336</v>
      </c>
      <c r="T57">
        <v>336</v>
      </c>
      <c r="U57" s="17">
        <v>3.5934884600000001</v>
      </c>
      <c r="V57" s="66">
        <f t="shared" si="4"/>
        <v>0</v>
      </c>
      <c r="W57" s="66">
        <f t="shared" si="5"/>
        <v>0</v>
      </c>
      <c r="Z57" s="4">
        <f t="shared" si="6"/>
        <v>0</v>
      </c>
      <c r="AA57" s="4">
        <f t="shared" si="7"/>
        <v>1</v>
      </c>
      <c r="AB57" s="4">
        <f t="shared" si="8"/>
        <v>0</v>
      </c>
      <c r="AC57" s="63"/>
      <c r="AD57" s="63"/>
      <c r="AF57" s="63">
        <f>IF($M57&lt;$S57,1,0)</f>
        <v>0</v>
      </c>
      <c r="AG57" s="63">
        <f>IF($M57=$S57,1,0)</f>
        <v>1</v>
      </c>
      <c r="AH57" s="63">
        <f>IF($M57&gt;$S57,1,0)</f>
        <v>0</v>
      </c>
    </row>
    <row r="58" spans="1:34" x14ac:dyDescent="0.6">
      <c r="A58" s="6" t="s">
        <v>461</v>
      </c>
      <c r="B58" s="24">
        <v>10</v>
      </c>
      <c r="C58" s="13" t="s">
        <v>973</v>
      </c>
      <c r="D58" s="13" t="s">
        <v>976</v>
      </c>
      <c r="E58" s="13" t="s">
        <v>982</v>
      </c>
      <c r="F58" s="10">
        <v>7</v>
      </c>
      <c r="G58" s="43" t="str">
        <f t="shared" si="0"/>
        <v>10_20-30_5-10_40-60</v>
      </c>
      <c r="H58">
        <v>298</v>
      </c>
      <c r="I58">
        <v>298</v>
      </c>
      <c r="J58" s="22">
        <v>4.7</v>
      </c>
      <c r="K58" s="66">
        <f t="shared" si="1"/>
        <v>0</v>
      </c>
      <c r="L58" s="10"/>
      <c r="M58" s="1">
        <v>298</v>
      </c>
      <c r="N58" s="1">
        <v>298</v>
      </c>
      <c r="O58" s="62">
        <v>1.01</v>
      </c>
      <c r="P58" s="66">
        <f t="shared" si="2"/>
        <v>0</v>
      </c>
      <c r="Q58" s="66">
        <f t="shared" si="3"/>
        <v>0</v>
      </c>
      <c r="S58">
        <v>300</v>
      </c>
      <c r="T58">
        <v>300.60000000000002</v>
      </c>
      <c r="U58" s="17">
        <v>3.1281682800000001</v>
      </c>
      <c r="V58" s="66">
        <f t="shared" si="4"/>
        <v>0.67114093959731547</v>
      </c>
      <c r="W58" s="66">
        <f t="shared" si="5"/>
        <v>0.87248322147651758</v>
      </c>
      <c r="Z58" s="4">
        <f t="shared" si="6"/>
        <v>0</v>
      </c>
      <c r="AA58" s="4">
        <f t="shared" si="7"/>
        <v>1</v>
      </c>
      <c r="AB58" s="4">
        <f t="shared" si="8"/>
        <v>0</v>
      </c>
      <c r="AC58" s="63"/>
      <c r="AD58" s="63"/>
      <c r="AF58" s="63">
        <f>IF($M58&lt;$S58,1,0)</f>
        <v>1</v>
      </c>
      <c r="AG58" s="63">
        <f>IF($M58=$S58,1,0)</f>
        <v>0</v>
      </c>
      <c r="AH58" s="63">
        <f>IF($M58&gt;$S58,1,0)</f>
        <v>0</v>
      </c>
    </row>
    <row r="59" spans="1:34" x14ac:dyDescent="0.6">
      <c r="A59" s="6" t="s">
        <v>462</v>
      </c>
      <c r="B59" s="24">
        <v>10</v>
      </c>
      <c r="C59" s="13" t="s">
        <v>973</v>
      </c>
      <c r="D59" s="13" t="s">
        <v>976</v>
      </c>
      <c r="E59" s="13" t="s">
        <v>982</v>
      </c>
      <c r="F59" s="10">
        <v>8</v>
      </c>
      <c r="G59" s="43" t="str">
        <f t="shared" si="0"/>
        <v>10_20-30_5-10_40-60</v>
      </c>
      <c r="H59">
        <v>295</v>
      </c>
      <c r="I59">
        <v>295</v>
      </c>
      <c r="J59" s="22">
        <v>8.83</v>
      </c>
      <c r="K59" s="66">
        <f t="shared" si="1"/>
        <v>0</v>
      </c>
      <c r="L59" s="10"/>
      <c r="M59" s="1">
        <v>295</v>
      </c>
      <c r="N59" s="1">
        <v>295</v>
      </c>
      <c r="O59" s="62">
        <v>1.01</v>
      </c>
      <c r="P59" s="66">
        <f t="shared" si="2"/>
        <v>0</v>
      </c>
      <c r="Q59" s="66">
        <f t="shared" si="3"/>
        <v>0</v>
      </c>
      <c r="S59">
        <v>295</v>
      </c>
      <c r="T59">
        <v>296.60000000000002</v>
      </c>
      <c r="U59" s="17">
        <v>3.2916758800000001</v>
      </c>
      <c r="V59" s="66">
        <f t="shared" si="4"/>
        <v>0</v>
      </c>
      <c r="W59" s="66">
        <f t="shared" si="5"/>
        <v>0.54237288135593986</v>
      </c>
      <c r="Z59" s="4">
        <f t="shared" si="6"/>
        <v>0</v>
      </c>
      <c r="AA59" s="4">
        <f t="shared" si="7"/>
        <v>1</v>
      </c>
      <c r="AB59" s="4">
        <f t="shared" si="8"/>
        <v>0</v>
      </c>
      <c r="AC59" s="63"/>
      <c r="AD59" s="63"/>
      <c r="AF59" s="63">
        <f>IF($M59&lt;$S59,1,0)</f>
        <v>0</v>
      </c>
      <c r="AG59" s="63">
        <f>IF($M59=$S59,1,0)</f>
        <v>1</v>
      </c>
      <c r="AH59" s="63">
        <f>IF($M59&gt;$S59,1,0)</f>
        <v>0</v>
      </c>
    </row>
    <row r="60" spans="1:34" x14ac:dyDescent="0.6">
      <c r="A60" s="6" t="s">
        <v>463</v>
      </c>
      <c r="B60" s="24">
        <v>10</v>
      </c>
      <c r="C60" s="13" t="s">
        <v>973</v>
      </c>
      <c r="D60" s="13" t="s">
        <v>976</v>
      </c>
      <c r="E60" s="13" t="s">
        <v>982</v>
      </c>
      <c r="F60" s="10">
        <v>9</v>
      </c>
      <c r="G60" s="43" t="str">
        <f t="shared" si="0"/>
        <v>10_20-30_5-10_40-60</v>
      </c>
      <c r="H60">
        <v>290</v>
      </c>
      <c r="I60">
        <v>290</v>
      </c>
      <c r="J60" s="22">
        <v>3.49</v>
      </c>
      <c r="K60" s="66">
        <f t="shared" si="1"/>
        <v>0</v>
      </c>
      <c r="L60" s="10"/>
      <c r="M60" s="1">
        <v>290</v>
      </c>
      <c r="N60" s="1">
        <v>290</v>
      </c>
      <c r="O60" s="62">
        <v>1.01</v>
      </c>
      <c r="P60" s="66">
        <f t="shared" si="2"/>
        <v>0</v>
      </c>
      <c r="Q60" s="66">
        <f t="shared" si="3"/>
        <v>0</v>
      </c>
      <c r="S60">
        <v>290</v>
      </c>
      <c r="T60">
        <v>292</v>
      </c>
      <c r="U60" s="17">
        <v>3.3111085</v>
      </c>
      <c r="V60" s="66">
        <f t="shared" si="4"/>
        <v>0</v>
      </c>
      <c r="W60" s="66">
        <f t="shared" si="5"/>
        <v>0.68965517241379315</v>
      </c>
      <c r="Z60" s="4">
        <f t="shared" si="6"/>
        <v>0</v>
      </c>
      <c r="AA60" s="4">
        <f t="shared" si="7"/>
        <v>1</v>
      </c>
      <c r="AB60" s="4">
        <f t="shared" si="8"/>
        <v>0</v>
      </c>
      <c r="AC60" s="63"/>
      <c r="AD60" s="63"/>
      <c r="AF60" s="63">
        <f>IF($M60&lt;$S60,1,0)</f>
        <v>0</v>
      </c>
      <c r="AG60" s="63">
        <f>IF($M60=$S60,1,0)</f>
        <v>1</v>
      </c>
      <c r="AH60" s="63">
        <f>IF($M60&gt;$S60,1,0)</f>
        <v>0</v>
      </c>
    </row>
    <row r="61" spans="1:34" x14ac:dyDescent="0.6">
      <c r="A61" s="6" t="s">
        <v>464</v>
      </c>
      <c r="B61" s="24">
        <v>10</v>
      </c>
      <c r="C61" s="13" t="s">
        <v>973</v>
      </c>
      <c r="D61" s="13" t="s">
        <v>976</v>
      </c>
      <c r="E61" s="13" t="s">
        <v>982</v>
      </c>
      <c r="F61" s="10">
        <v>10</v>
      </c>
      <c r="G61" s="43" t="str">
        <f t="shared" si="0"/>
        <v>10_20-30_5-10_40-60</v>
      </c>
      <c r="H61">
        <v>310</v>
      </c>
      <c r="I61">
        <v>310</v>
      </c>
      <c r="J61" s="22">
        <v>2.92</v>
      </c>
      <c r="K61" s="66">
        <f t="shared" si="1"/>
        <v>0</v>
      </c>
      <c r="L61" s="10"/>
      <c r="M61" s="1">
        <v>310</v>
      </c>
      <c r="N61" s="1">
        <v>310</v>
      </c>
      <c r="O61" s="62">
        <v>1.01</v>
      </c>
      <c r="P61" s="66">
        <f t="shared" si="2"/>
        <v>0</v>
      </c>
      <c r="Q61" s="66">
        <f t="shared" si="3"/>
        <v>0</v>
      </c>
      <c r="S61">
        <v>311</v>
      </c>
      <c r="T61">
        <v>311</v>
      </c>
      <c r="U61" s="17">
        <v>3.7865009399999998</v>
      </c>
      <c r="V61" s="66">
        <f t="shared" si="4"/>
        <v>0.32258064516129031</v>
      </c>
      <c r="W61" s="66">
        <f t="shared" si="5"/>
        <v>0.32258064516129031</v>
      </c>
      <c r="Z61" s="4">
        <f t="shared" si="6"/>
        <v>0</v>
      </c>
      <c r="AA61" s="4">
        <f t="shared" si="7"/>
        <v>1</v>
      </c>
      <c r="AB61" s="4">
        <f t="shared" si="8"/>
        <v>0</v>
      </c>
      <c r="AC61" s="63"/>
      <c r="AD61" s="63"/>
      <c r="AF61" s="63">
        <f>IF($M61&lt;$S61,1,0)</f>
        <v>1</v>
      </c>
      <c r="AG61" s="63">
        <f>IF($M61=$S61,1,0)</f>
        <v>0</v>
      </c>
      <c r="AH61" s="63">
        <f>IF($M61&gt;$S61,1,0)</f>
        <v>0</v>
      </c>
    </row>
    <row r="62" spans="1:34" x14ac:dyDescent="0.6">
      <c r="A62" s="6" t="s">
        <v>465</v>
      </c>
      <c r="B62" s="24">
        <v>10</v>
      </c>
      <c r="C62" s="13" t="s">
        <v>973</v>
      </c>
      <c r="D62" s="13" t="s">
        <v>979</v>
      </c>
      <c r="E62" s="13" t="s">
        <v>981</v>
      </c>
      <c r="F62" s="10">
        <v>1</v>
      </c>
      <c r="G62" s="43" t="str">
        <f t="shared" si="0"/>
        <v>10_20-30_10-15_20-40</v>
      </c>
      <c r="H62">
        <v>336</v>
      </c>
      <c r="I62">
        <v>336</v>
      </c>
      <c r="J62" s="22">
        <v>6.54</v>
      </c>
      <c r="K62" s="66">
        <f t="shared" si="1"/>
        <v>0</v>
      </c>
      <c r="L62" s="10"/>
      <c r="M62" s="1">
        <v>336</v>
      </c>
      <c r="N62" s="1">
        <v>336</v>
      </c>
      <c r="O62" s="62">
        <v>1.01</v>
      </c>
      <c r="P62" s="66">
        <f t="shared" si="2"/>
        <v>0</v>
      </c>
      <c r="Q62" s="66">
        <f t="shared" si="3"/>
        <v>0</v>
      </c>
      <c r="S62">
        <v>336</v>
      </c>
      <c r="T62">
        <v>336.4</v>
      </c>
      <c r="U62" s="17">
        <v>3.3219330399999998</v>
      </c>
      <c r="V62" s="66">
        <f t="shared" si="4"/>
        <v>0</v>
      </c>
      <c r="W62" s="66">
        <f t="shared" si="5"/>
        <v>0.11904761904761227</v>
      </c>
      <c r="Z62" s="4">
        <f t="shared" si="6"/>
        <v>0</v>
      </c>
      <c r="AA62" s="4">
        <f t="shared" si="7"/>
        <v>1</v>
      </c>
      <c r="AB62" s="4">
        <f t="shared" si="8"/>
        <v>0</v>
      </c>
      <c r="AC62" s="63"/>
      <c r="AD62" s="63"/>
      <c r="AF62" s="63">
        <f>IF($M62&lt;$S62,1,0)</f>
        <v>0</v>
      </c>
      <c r="AG62" s="63">
        <f>IF($M62=$S62,1,0)</f>
        <v>1</v>
      </c>
      <c r="AH62" s="63">
        <f>IF($M62&gt;$S62,1,0)</f>
        <v>0</v>
      </c>
    </row>
    <row r="63" spans="1:34" x14ac:dyDescent="0.6">
      <c r="A63" s="6" t="s">
        <v>466</v>
      </c>
      <c r="B63" s="24">
        <v>10</v>
      </c>
      <c r="C63" s="13" t="s">
        <v>973</v>
      </c>
      <c r="D63" s="13" t="s">
        <v>979</v>
      </c>
      <c r="E63" s="13" t="s">
        <v>981</v>
      </c>
      <c r="F63" s="10">
        <v>2</v>
      </c>
      <c r="G63" s="43" t="str">
        <f t="shared" si="0"/>
        <v>10_20-30_10-15_20-40</v>
      </c>
      <c r="H63">
        <v>331</v>
      </c>
      <c r="I63">
        <v>331</v>
      </c>
      <c r="J63" s="22">
        <v>3.71</v>
      </c>
      <c r="K63" s="66">
        <f t="shared" si="1"/>
        <v>0</v>
      </c>
      <c r="L63" s="10"/>
      <c r="M63" s="1">
        <v>331</v>
      </c>
      <c r="N63" s="1">
        <v>331</v>
      </c>
      <c r="O63" s="62">
        <v>1.01</v>
      </c>
      <c r="P63" s="66">
        <f t="shared" si="2"/>
        <v>0</v>
      </c>
      <c r="Q63" s="66">
        <f t="shared" si="3"/>
        <v>0</v>
      </c>
      <c r="S63">
        <v>331</v>
      </c>
      <c r="T63">
        <v>332.8</v>
      </c>
      <c r="U63" s="17">
        <v>3.5243916</v>
      </c>
      <c r="V63" s="66">
        <f t="shared" si="4"/>
        <v>0</v>
      </c>
      <c r="W63" s="66">
        <f t="shared" si="5"/>
        <v>0.54380664652568322</v>
      </c>
      <c r="Z63" s="4">
        <f t="shared" si="6"/>
        <v>0</v>
      </c>
      <c r="AA63" s="4">
        <f t="shared" si="7"/>
        <v>1</v>
      </c>
      <c r="AB63" s="4">
        <f t="shared" si="8"/>
        <v>0</v>
      </c>
      <c r="AC63" s="63"/>
      <c r="AD63" s="63"/>
      <c r="AF63" s="63">
        <f>IF($M63&lt;$S63,1,0)</f>
        <v>0</v>
      </c>
      <c r="AG63" s="63">
        <f>IF($M63=$S63,1,0)</f>
        <v>1</v>
      </c>
      <c r="AH63" s="63">
        <f>IF($M63&gt;$S63,1,0)</f>
        <v>0</v>
      </c>
    </row>
    <row r="64" spans="1:34" x14ac:dyDescent="0.6">
      <c r="A64" s="6" t="s">
        <v>467</v>
      </c>
      <c r="B64" s="24">
        <v>10</v>
      </c>
      <c r="C64" s="13" t="s">
        <v>973</v>
      </c>
      <c r="D64" s="13" t="s">
        <v>978</v>
      </c>
      <c r="E64" s="13" t="s">
        <v>980</v>
      </c>
      <c r="F64" s="10">
        <v>3</v>
      </c>
      <c r="G64" s="43" t="str">
        <f t="shared" si="0"/>
        <v>10_20-30_10-15_20-40</v>
      </c>
      <c r="H64">
        <v>335</v>
      </c>
      <c r="I64">
        <v>335</v>
      </c>
      <c r="J64" s="22">
        <v>10.41</v>
      </c>
      <c r="K64" s="66">
        <f t="shared" si="1"/>
        <v>0</v>
      </c>
      <c r="L64" s="10"/>
      <c r="M64" s="1">
        <v>335</v>
      </c>
      <c r="N64" s="1">
        <v>335</v>
      </c>
      <c r="O64" s="62">
        <v>1.01</v>
      </c>
      <c r="P64" s="66">
        <f t="shared" si="2"/>
        <v>0</v>
      </c>
      <c r="Q64" s="66">
        <f t="shared" si="3"/>
        <v>0</v>
      </c>
      <c r="S64">
        <v>335</v>
      </c>
      <c r="T64">
        <v>335.6</v>
      </c>
      <c r="U64" s="17">
        <v>3.2359844400000002</v>
      </c>
      <c r="V64" s="66">
        <f t="shared" si="4"/>
        <v>0</v>
      </c>
      <c r="W64" s="66">
        <f t="shared" si="5"/>
        <v>0.17910447761194709</v>
      </c>
      <c r="Z64" s="4">
        <f t="shared" si="6"/>
        <v>0</v>
      </c>
      <c r="AA64" s="4">
        <f t="shared" si="7"/>
        <v>1</v>
      </c>
      <c r="AB64" s="4">
        <f t="shared" si="8"/>
        <v>0</v>
      </c>
      <c r="AC64" s="63"/>
      <c r="AD64" s="63"/>
      <c r="AF64" s="63">
        <f>IF($M64&lt;$S64,1,0)</f>
        <v>0</v>
      </c>
      <c r="AG64" s="63">
        <f>IF($M64=$S64,1,0)</f>
        <v>1</v>
      </c>
      <c r="AH64" s="63">
        <f>IF($M64&gt;$S64,1,0)</f>
        <v>0</v>
      </c>
    </row>
    <row r="65" spans="1:34" x14ac:dyDescent="0.6">
      <c r="A65" s="6" t="s">
        <v>468</v>
      </c>
      <c r="B65" s="24">
        <v>10</v>
      </c>
      <c r="C65" s="13" t="s">
        <v>973</v>
      </c>
      <c r="D65" s="13" t="s">
        <v>978</v>
      </c>
      <c r="E65" s="13" t="s">
        <v>980</v>
      </c>
      <c r="F65" s="10">
        <v>4</v>
      </c>
      <c r="G65" s="43" t="str">
        <f t="shared" si="0"/>
        <v>10_20-30_10-15_20-40</v>
      </c>
      <c r="H65">
        <v>341</v>
      </c>
      <c r="I65">
        <v>341</v>
      </c>
      <c r="J65" s="22">
        <v>4.88</v>
      </c>
      <c r="K65" s="66">
        <f t="shared" si="1"/>
        <v>0</v>
      </c>
      <c r="L65" s="10"/>
      <c r="M65" s="1">
        <v>341</v>
      </c>
      <c r="N65" s="1">
        <v>341</v>
      </c>
      <c r="O65" s="62">
        <v>1.01</v>
      </c>
      <c r="P65" s="66">
        <f t="shared" si="2"/>
        <v>0</v>
      </c>
      <c r="Q65" s="66">
        <f t="shared" si="3"/>
        <v>0</v>
      </c>
      <c r="S65">
        <v>341</v>
      </c>
      <c r="T65">
        <v>342.8</v>
      </c>
      <c r="U65" s="17">
        <v>3.3993947800000002</v>
      </c>
      <c r="V65" s="66">
        <f t="shared" si="4"/>
        <v>0</v>
      </c>
      <c r="W65" s="66">
        <f t="shared" si="5"/>
        <v>0.5278592375366602</v>
      </c>
      <c r="Z65" s="4">
        <f t="shared" si="6"/>
        <v>0</v>
      </c>
      <c r="AA65" s="4">
        <f t="shared" si="7"/>
        <v>1</v>
      </c>
      <c r="AB65" s="4">
        <f t="shared" si="8"/>
        <v>0</v>
      </c>
      <c r="AC65" s="63"/>
      <c r="AD65" s="63"/>
      <c r="AF65" s="63">
        <f>IF($M65&lt;$S65,1,0)</f>
        <v>0</v>
      </c>
      <c r="AG65" s="63">
        <f>IF($M65=$S65,1,0)</f>
        <v>1</v>
      </c>
      <c r="AH65" s="63">
        <f>IF($M65&gt;$S65,1,0)</f>
        <v>0</v>
      </c>
    </row>
    <row r="66" spans="1:34" x14ac:dyDescent="0.6">
      <c r="A66" s="6" t="s">
        <v>469</v>
      </c>
      <c r="B66" s="24">
        <v>10</v>
      </c>
      <c r="C66" s="13" t="s">
        <v>973</v>
      </c>
      <c r="D66" s="13" t="s">
        <v>978</v>
      </c>
      <c r="E66" s="13" t="s">
        <v>980</v>
      </c>
      <c r="F66" s="10">
        <v>5</v>
      </c>
      <c r="G66" s="43" t="str">
        <f t="shared" si="0"/>
        <v>10_20-30_10-15_20-40</v>
      </c>
      <c r="H66">
        <v>343</v>
      </c>
      <c r="I66">
        <v>343</v>
      </c>
      <c r="J66" s="22">
        <v>1.55</v>
      </c>
      <c r="K66" s="66">
        <f t="shared" si="1"/>
        <v>0</v>
      </c>
      <c r="L66" s="10"/>
      <c r="M66" s="1">
        <v>343</v>
      </c>
      <c r="N66" s="1">
        <v>343</v>
      </c>
      <c r="O66" s="62">
        <v>1.01</v>
      </c>
      <c r="P66" s="66">
        <f t="shared" si="2"/>
        <v>0</v>
      </c>
      <c r="Q66" s="66">
        <f t="shared" si="3"/>
        <v>0</v>
      </c>
      <c r="S66">
        <v>343</v>
      </c>
      <c r="T66">
        <v>343.4</v>
      </c>
      <c r="U66" s="17">
        <v>3.8950008399999998</v>
      </c>
      <c r="V66" s="66">
        <f t="shared" si="4"/>
        <v>0</v>
      </c>
      <c r="W66" s="66">
        <f t="shared" si="5"/>
        <v>0.11661807580174263</v>
      </c>
      <c r="Z66" s="4">
        <f t="shared" si="6"/>
        <v>0</v>
      </c>
      <c r="AA66" s="4">
        <f t="shared" si="7"/>
        <v>1</v>
      </c>
      <c r="AB66" s="4">
        <f t="shared" si="8"/>
        <v>0</v>
      </c>
      <c r="AC66" s="63"/>
      <c r="AD66" s="63"/>
      <c r="AF66" s="63">
        <f>IF($M66&lt;$S66,1,0)</f>
        <v>0</v>
      </c>
      <c r="AG66" s="63">
        <f>IF($M66=$S66,1,0)</f>
        <v>1</v>
      </c>
      <c r="AH66" s="63">
        <f>IF($M66&gt;$S66,1,0)</f>
        <v>0</v>
      </c>
    </row>
    <row r="67" spans="1:34" x14ac:dyDescent="0.6">
      <c r="A67" s="6" t="s">
        <v>470</v>
      </c>
      <c r="B67" s="24">
        <v>10</v>
      </c>
      <c r="C67" s="13" t="s">
        <v>973</v>
      </c>
      <c r="D67" s="13" t="s">
        <v>978</v>
      </c>
      <c r="E67" s="13" t="s">
        <v>980</v>
      </c>
      <c r="F67" s="10">
        <v>6</v>
      </c>
      <c r="G67" s="43" t="str">
        <f t="shared" ref="G67:G130" si="9">B67 &amp; "_" &amp; C67 &amp; "_" &amp; D67 &amp; "_" &amp; E67</f>
        <v>10_20-30_10-15_20-40</v>
      </c>
      <c r="H67">
        <v>364</v>
      </c>
      <c r="I67">
        <v>364</v>
      </c>
      <c r="J67" s="22">
        <v>2.29</v>
      </c>
      <c r="K67" s="66">
        <f t="shared" ref="K67:K130" si="10">(I67-$H67)/$H67*100</f>
        <v>0</v>
      </c>
      <c r="L67" s="10"/>
      <c r="M67" s="1">
        <v>364</v>
      </c>
      <c r="N67" s="1">
        <v>364</v>
      </c>
      <c r="O67" s="62">
        <v>1.01</v>
      </c>
      <c r="P67" s="66">
        <f t="shared" ref="P67:P130" si="11">(M67-$H67)/$H67*100</f>
        <v>0</v>
      </c>
      <c r="Q67" s="66">
        <f t="shared" ref="Q67:Q130" si="12">(N67-$H67)/$H67*100</f>
        <v>0</v>
      </c>
      <c r="S67">
        <v>364</v>
      </c>
      <c r="T67">
        <v>364</v>
      </c>
      <c r="U67" s="17">
        <v>3.7466567199999998</v>
      </c>
      <c r="V67" s="66">
        <f t="shared" ref="V67:V130" si="13">(S67-$H67)/$H67*100</f>
        <v>0</v>
      </c>
      <c r="W67" s="66">
        <f t="shared" ref="W67:W130" si="14">(T67-$H67)/$H67*100</f>
        <v>0</v>
      </c>
      <c r="Z67" s="4">
        <f t="shared" ref="Z67:Z130" si="15">IF($M67&lt;$I67,1,0)</f>
        <v>0</v>
      </c>
      <c r="AA67" s="4">
        <f t="shared" ref="AA67:AA130" si="16">IF($M67=$I67,1,0)</f>
        <v>1</v>
      </c>
      <c r="AB67" s="4">
        <f t="shared" ref="AB67:AB130" si="17">IF($M67&gt;$I67,1,0)</f>
        <v>0</v>
      </c>
      <c r="AC67" s="63"/>
      <c r="AD67" s="63"/>
      <c r="AF67" s="63">
        <f>IF($M67&lt;$S67,1,0)</f>
        <v>0</v>
      </c>
      <c r="AG67" s="63">
        <f>IF($M67=$S67,1,0)</f>
        <v>1</v>
      </c>
      <c r="AH67" s="63">
        <f>IF($M67&gt;$S67,1,0)</f>
        <v>0</v>
      </c>
    </row>
    <row r="68" spans="1:34" x14ac:dyDescent="0.6">
      <c r="A68" s="6" t="s">
        <v>471</v>
      </c>
      <c r="B68" s="24">
        <v>10</v>
      </c>
      <c r="C68" s="13" t="s">
        <v>973</v>
      </c>
      <c r="D68" s="13" t="s">
        <v>978</v>
      </c>
      <c r="E68" s="13" t="s">
        <v>980</v>
      </c>
      <c r="F68" s="10">
        <v>7</v>
      </c>
      <c r="G68" s="43" t="str">
        <f t="shared" si="9"/>
        <v>10_20-30_10-15_20-40</v>
      </c>
      <c r="H68">
        <v>343</v>
      </c>
      <c r="I68">
        <v>343</v>
      </c>
      <c r="J68" s="22">
        <v>9.14</v>
      </c>
      <c r="K68" s="66">
        <f t="shared" si="10"/>
        <v>0</v>
      </c>
      <c r="L68" s="10"/>
      <c r="M68" s="1">
        <v>343</v>
      </c>
      <c r="N68" s="1">
        <v>343</v>
      </c>
      <c r="O68" s="62">
        <v>1.01</v>
      </c>
      <c r="P68" s="66">
        <f t="shared" si="11"/>
        <v>0</v>
      </c>
      <c r="Q68" s="66">
        <f t="shared" si="12"/>
        <v>0</v>
      </c>
      <c r="S68">
        <v>343</v>
      </c>
      <c r="T68">
        <v>344.6</v>
      </c>
      <c r="U68" s="17">
        <v>3.22674934</v>
      </c>
      <c r="V68" s="66">
        <f t="shared" si="13"/>
        <v>0</v>
      </c>
      <c r="W68" s="66">
        <f t="shared" si="14"/>
        <v>0.46647230320700378</v>
      </c>
      <c r="Z68" s="4">
        <f t="shared" si="15"/>
        <v>0</v>
      </c>
      <c r="AA68" s="4">
        <f t="shared" si="16"/>
        <v>1</v>
      </c>
      <c r="AB68" s="4">
        <f t="shared" si="17"/>
        <v>0</v>
      </c>
      <c r="AC68" s="63"/>
      <c r="AD68" s="63"/>
      <c r="AF68" s="63">
        <f>IF($M68&lt;$S68,1,0)</f>
        <v>0</v>
      </c>
      <c r="AG68" s="63">
        <f>IF($M68=$S68,1,0)</f>
        <v>1</v>
      </c>
      <c r="AH68" s="63">
        <f>IF($M68&gt;$S68,1,0)</f>
        <v>0</v>
      </c>
    </row>
    <row r="69" spans="1:34" x14ac:dyDescent="0.6">
      <c r="A69" s="6" t="s">
        <v>472</v>
      </c>
      <c r="B69" s="24">
        <v>10</v>
      </c>
      <c r="C69" s="13" t="s">
        <v>973</v>
      </c>
      <c r="D69" s="13" t="s">
        <v>978</v>
      </c>
      <c r="E69" s="13" t="s">
        <v>980</v>
      </c>
      <c r="F69" s="10">
        <v>8</v>
      </c>
      <c r="G69" s="43" t="str">
        <f t="shared" si="9"/>
        <v>10_20-30_10-15_20-40</v>
      </c>
      <c r="H69">
        <v>340</v>
      </c>
      <c r="I69">
        <v>340</v>
      </c>
      <c r="J69" s="22">
        <v>20.6</v>
      </c>
      <c r="K69" s="66">
        <f t="shared" si="10"/>
        <v>0</v>
      </c>
      <c r="L69" s="10"/>
      <c r="M69" s="1">
        <v>340</v>
      </c>
      <c r="N69" s="1">
        <v>340</v>
      </c>
      <c r="O69" s="62">
        <v>1.01</v>
      </c>
      <c r="P69" s="66">
        <f t="shared" si="11"/>
        <v>0</v>
      </c>
      <c r="Q69" s="66">
        <f t="shared" si="12"/>
        <v>0</v>
      </c>
      <c r="S69">
        <v>341</v>
      </c>
      <c r="T69">
        <v>341.4</v>
      </c>
      <c r="U69" s="17">
        <v>3.2452709400000002</v>
      </c>
      <c r="V69" s="66">
        <f t="shared" si="13"/>
        <v>0.29411764705882354</v>
      </c>
      <c r="W69" s="66">
        <f t="shared" si="14"/>
        <v>0.41176470588234632</v>
      </c>
      <c r="Z69" s="4">
        <f t="shared" si="15"/>
        <v>0</v>
      </c>
      <c r="AA69" s="4">
        <f t="shared" si="16"/>
        <v>1</v>
      </c>
      <c r="AB69" s="4">
        <f t="shared" si="17"/>
        <v>0</v>
      </c>
      <c r="AC69" s="63"/>
      <c r="AD69" s="63"/>
      <c r="AF69" s="63">
        <f>IF($M69&lt;$S69,1,0)</f>
        <v>1</v>
      </c>
      <c r="AG69" s="63">
        <f>IF($M69=$S69,1,0)</f>
        <v>0</v>
      </c>
      <c r="AH69" s="63">
        <f>IF($M69&gt;$S69,1,0)</f>
        <v>0</v>
      </c>
    </row>
    <row r="70" spans="1:34" x14ac:dyDescent="0.6">
      <c r="A70" s="6" t="s">
        <v>473</v>
      </c>
      <c r="B70" s="24">
        <v>10</v>
      </c>
      <c r="C70" s="13" t="s">
        <v>973</v>
      </c>
      <c r="D70" s="13" t="s">
        <v>978</v>
      </c>
      <c r="E70" s="13" t="s">
        <v>980</v>
      </c>
      <c r="F70" s="10">
        <v>9</v>
      </c>
      <c r="G70" s="43" t="str">
        <f t="shared" si="9"/>
        <v>10_20-30_10-15_20-40</v>
      </c>
      <c r="H70">
        <v>335</v>
      </c>
      <c r="I70">
        <v>335</v>
      </c>
      <c r="J70" s="22">
        <v>6.37</v>
      </c>
      <c r="K70" s="66">
        <f t="shared" si="10"/>
        <v>0</v>
      </c>
      <c r="L70" s="10"/>
      <c r="M70" s="1">
        <v>335</v>
      </c>
      <c r="N70" s="1">
        <v>335</v>
      </c>
      <c r="O70" s="62">
        <v>1</v>
      </c>
      <c r="P70" s="66">
        <f t="shared" si="11"/>
        <v>0</v>
      </c>
      <c r="Q70" s="66">
        <f t="shared" si="12"/>
        <v>0</v>
      </c>
      <c r="S70">
        <v>335</v>
      </c>
      <c r="T70">
        <v>335.6</v>
      </c>
      <c r="U70" s="17">
        <v>3.3233300799999999</v>
      </c>
      <c r="V70" s="66">
        <f t="shared" si="13"/>
        <v>0</v>
      </c>
      <c r="W70" s="66">
        <f t="shared" si="14"/>
        <v>0.17910447761194709</v>
      </c>
      <c r="Z70" s="4">
        <f t="shared" si="15"/>
        <v>0</v>
      </c>
      <c r="AA70" s="4">
        <f t="shared" si="16"/>
        <v>1</v>
      </c>
      <c r="AB70" s="4">
        <f t="shared" si="17"/>
        <v>0</v>
      </c>
      <c r="AC70" s="63"/>
      <c r="AD70" s="63"/>
      <c r="AF70" s="63">
        <f>IF($M70&lt;$S70,1,0)</f>
        <v>0</v>
      </c>
      <c r="AG70" s="63">
        <f>IF($M70=$S70,1,0)</f>
        <v>1</v>
      </c>
      <c r="AH70" s="63">
        <f>IF($M70&gt;$S70,1,0)</f>
        <v>0</v>
      </c>
    </row>
    <row r="71" spans="1:34" x14ac:dyDescent="0.6">
      <c r="A71" s="6" t="s">
        <v>474</v>
      </c>
      <c r="B71" s="24">
        <v>10</v>
      </c>
      <c r="C71" s="13" t="s">
        <v>973</v>
      </c>
      <c r="D71" s="13" t="s">
        <v>978</v>
      </c>
      <c r="E71" s="13" t="s">
        <v>980</v>
      </c>
      <c r="F71" s="10">
        <v>10</v>
      </c>
      <c r="G71" s="43" t="str">
        <f t="shared" si="9"/>
        <v>10_20-30_10-15_20-40</v>
      </c>
      <c r="H71">
        <v>352</v>
      </c>
      <c r="I71">
        <v>352</v>
      </c>
      <c r="J71" s="22">
        <v>3.64</v>
      </c>
      <c r="K71" s="66">
        <f t="shared" si="10"/>
        <v>0</v>
      </c>
      <c r="L71" s="10"/>
      <c r="M71" s="1">
        <v>352</v>
      </c>
      <c r="N71" s="1">
        <v>352</v>
      </c>
      <c r="O71" s="62">
        <v>1.01</v>
      </c>
      <c r="P71" s="66">
        <f t="shared" si="11"/>
        <v>0</v>
      </c>
      <c r="Q71" s="66">
        <f t="shared" si="12"/>
        <v>0</v>
      </c>
      <c r="S71">
        <v>352</v>
      </c>
      <c r="T71">
        <v>353.8</v>
      </c>
      <c r="U71" s="17">
        <v>3.5997487000000001</v>
      </c>
      <c r="V71" s="66">
        <f t="shared" si="13"/>
        <v>0</v>
      </c>
      <c r="W71" s="66">
        <f t="shared" si="14"/>
        <v>0.51136363636363957</v>
      </c>
      <c r="Z71" s="4">
        <f t="shared" si="15"/>
        <v>0</v>
      </c>
      <c r="AA71" s="4">
        <f t="shared" si="16"/>
        <v>1</v>
      </c>
      <c r="AB71" s="4">
        <f t="shared" si="17"/>
        <v>0</v>
      </c>
      <c r="AC71" s="63"/>
      <c r="AD71" s="63"/>
      <c r="AF71" s="63">
        <f>IF($M71&lt;$S71,1,0)</f>
        <v>0</v>
      </c>
      <c r="AG71" s="63">
        <f>IF($M71=$S71,1,0)</f>
        <v>1</v>
      </c>
      <c r="AH71" s="63">
        <f>IF($M71&gt;$S71,1,0)</f>
        <v>0</v>
      </c>
    </row>
    <row r="72" spans="1:34" x14ac:dyDescent="0.6">
      <c r="A72" s="6" t="s">
        <v>475</v>
      </c>
      <c r="B72" s="24">
        <v>10</v>
      </c>
      <c r="C72" s="13" t="s">
        <v>973</v>
      </c>
      <c r="D72" s="13" t="s">
        <v>978</v>
      </c>
      <c r="E72" s="13" t="s">
        <v>984</v>
      </c>
      <c r="F72" s="10">
        <v>1</v>
      </c>
      <c r="G72" s="43" t="str">
        <f t="shared" si="9"/>
        <v>10_20-30_10-15_40-60</v>
      </c>
      <c r="H72">
        <v>338</v>
      </c>
      <c r="I72">
        <v>338</v>
      </c>
      <c r="J72" s="22">
        <v>4.53</v>
      </c>
      <c r="K72" s="66">
        <f t="shared" si="10"/>
        <v>0</v>
      </c>
      <c r="L72" s="10"/>
      <c r="M72" s="1">
        <v>338</v>
      </c>
      <c r="N72" s="1">
        <v>338</v>
      </c>
      <c r="O72" s="62">
        <v>1.01</v>
      </c>
      <c r="P72" s="66">
        <f t="shared" si="11"/>
        <v>0</v>
      </c>
      <c r="Q72" s="66">
        <f t="shared" si="12"/>
        <v>0</v>
      </c>
      <c r="S72">
        <v>338</v>
      </c>
      <c r="T72">
        <v>339</v>
      </c>
      <c r="U72" s="17">
        <v>3.3034253800000002</v>
      </c>
      <c r="V72" s="66">
        <f t="shared" si="13"/>
        <v>0</v>
      </c>
      <c r="W72" s="66">
        <f t="shared" si="14"/>
        <v>0.29585798816568049</v>
      </c>
      <c r="Z72" s="4">
        <f t="shared" si="15"/>
        <v>0</v>
      </c>
      <c r="AA72" s="4">
        <f t="shared" si="16"/>
        <v>1</v>
      </c>
      <c r="AB72" s="4">
        <f t="shared" si="17"/>
        <v>0</v>
      </c>
      <c r="AC72" s="63"/>
      <c r="AD72" s="63"/>
      <c r="AF72" s="63">
        <f>IF($M72&lt;$S72,1,0)</f>
        <v>0</v>
      </c>
      <c r="AG72" s="63">
        <f>IF($M72=$S72,1,0)</f>
        <v>1</v>
      </c>
      <c r="AH72" s="63">
        <f>IF($M72&gt;$S72,1,0)</f>
        <v>0</v>
      </c>
    </row>
    <row r="73" spans="1:34" x14ac:dyDescent="0.6">
      <c r="A73" s="6" t="s">
        <v>476</v>
      </c>
      <c r="B73" s="24">
        <v>10</v>
      </c>
      <c r="C73" s="13" t="s">
        <v>973</v>
      </c>
      <c r="D73" s="13" t="s">
        <v>978</v>
      </c>
      <c r="E73" s="13" t="s">
        <v>984</v>
      </c>
      <c r="F73" s="10">
        <v>2</v>
      </c>
      <c r="G73" s="43" t="str">
        <f t="shared" si="9"/>
        <v>10_20-30_10-15_40-60</v>
      </c>
      <c r="H73">
        <v>333</v>
      </c>
      <c r="I73">
        <v>333</v>
      </c>
      <c r="J73" s="22">
        <v>2.97</v>
      </c>
      <c r="K73" s="66">
        <f t="shared" si="10"/>
        <v>0</v>
      </c>
      <c r="L73" s="10"/>
      <c r="M73" s="1">
        <v>333</v>
      </c>
      <c r="N73" s="1">
        <v>333</v>
      </c>
      <c r="O73" s="62">
        <v>1</v>
      </c>
      <c r="P73" s="66">
        <f t="shared" si="11"/>
        <v>0</v>
      </c>
      <c r="Q73" s="66">
        <f t="shared" si="12"/>
        <v>0</v>
      </c>
      <c r="S73">
        <v>333</v>
      </c>
      <c r="T73">
        <v>334.8</v>
      </c>
      <c r="U73" s="17">
        <v>3.4898835199999998</v>
      </c>
      <c r="V73" s="66">
        <f t="shared" si="13"/>
        <v>0</v>
      </c>
      <c r="W73" s="66">
        <f t="shared" si="14"/>
        <v>0.5405405405405439</v>
      </c>
      <c r="Z73" s="4">
        <f t="shared" si="15"/>
        <v>0</v>
      </c>
      <c r="AA73" s="4">
        <f t="shared" si="16"/>
        <v>1</v>
      </c>
      <c r="AB73" s="4">
        <f t="shared" si="17"/>
        <v>0</v>
      </c>
      <c r="AC73" s="63"/>
      <c r="AD73" s="63"/>
      <c r="AF73" s="63">
        <f>IF($M73&lt;$S73,1,0)</f>
        <v>0</v>
      </c>
      <c r="AG73" s="63">
        <f>IF($M73=$S73,1,0)</f>
        <v>1</v>
      </c>
      <c r="AH73" s="63">
        <f>IF($M73&gt;$S73,1,0)</f>
        <v>0</v>
      </c>
    </row>
    <row r="74" spans="1:34" x14ac:dyDescent="0.6">
      <c r="A74" s="6" t="s">
        <v>477</v>
      </c>
      <c r="B74" s="24">
        <v>10</v>
      </c>
      <c r="C74" s="13" t="s">
        <v>973</v>
      </c>
      <c r="D74" s="13" t="s">
        <v>978</v>
      </c>
      <c r="E74" s="13" t="s">
        <v>982</v>
      </c>
      <c r="F74" s="10">
        <v>3</v>
      </c>
      <c r="G74" s="43" t="str">
        <f t="shared" si="9"/>
        <v>10_20-30_10-15_40-60</v>
      </c>
      <c r="H74">
        <v>335</v>
      </c>
      <c r="I74">
        <v>335</v>
      </c>
      <c r="J74" s="22">
        <v>5.43</v>
      </c>
      <c r="K74" s="66">
        <f t="shared" si="10"/>
        <v>0</v>
      </c>
      <c r="L74" s="10"/>
      <c r="M74" s="1">
        <v>335</v>
      </c>
      <c r="N74" s="1">
        <v>335</v>
      </c>
      <c r="O74" s="62">
        <v>1</v>
      </c>
      <c r="P74" s="66">
        <f t="shared" si="11"/>
        <v>0</v>
      </c>
      <c r="Q74" s="66">
        <f t="shared" si="12"/>
        <v>0</v>
      </c>
      <c r="S74">
        <v>335</v>
      </c>
      <c r="T74">
        <v>336.2</v>
      </c>
      <c r="U74" s="17">
        <v>3.31605288</v>
      </c>
      <c r="V74" s="66">
        <f t="shared" si="13"/>
        <v>0</v>
      </c>
      <c r="W74" s="66">
        <f t="shared" si="14"/>
        <v>0.35820895522387719</v>
      </c>
      <c r="Z74" s="4">
        <f t="shared" si="15"/>
        <v>0</v>
      </c>
      <c r="AA74" s="4">
        <f t="shared" si="16"/>
        <v>1</v>
      </c>
      <c r="AB74" s="4">
        <f t="shared" si="17"/>
        <v>0</v>
      </c>
      <c r="AC74" s="63"/>
      <c r="AD74" s="63"/>
      <c r="AF74" s="63">
        <f>IF($M74&lt;$S74,1,0)</f>
        <v>0</v>
      </c>
      <c r="AG74" s="63">
        <f>IF($M74=$S74,1,0)</f>
        <v>1</v>
      </c>
      <c r="AH74" s="63">
        <f>IF($M74&gt;$S74,1,0)</f>
        <v>0</v>
      </c>
    </row>
    <row r="75" spans="1:34" x14ac:dyDescent="0.6">
      <c r="A75" s="6" t="s">
        <v>478</v>
      </c>
      <c r="B75" s="24">
        <v>10</v>
      </c>
      <c r="C75" s="13" t="s">
        <v>973</v>
      </c>
      <c r="D75" s="13" t="s">
        <v>978</v>
      </c>
      <c r="E75" s="13" t="s">
        <v>982</v>
      </c>
      <c r="F75" s="10">
        <v>4</v>
      </c>
      <c r="G75" s="43" t="str">
        <f t="shared" si="9"/>
        <v>10_20-30_10-15_40-60</v>
      </c>
      <c r="H75">
        <v>341</v>
      </c>
      <c r="I75">
        <v>341</v>
      </c>
      <c r="J75" s="22">
        <v>5.08</v>
      </c>
      <c r="K75" s="66">
        <f t="shared" si="10"/>
        <v>0</v>
      </c>
      <c r="L75" s="10"/>
      <c r="M75" s="1">
        <v>341</v>
      </c>
      <c r="N75" s="1">
        <v>341</v>
      </c>
      <c r="O75" s="62">
        <v>1</v>
      </c>
      <c r="P75" s="66">
        <f t="shared" si="11"/>
        <v>0</v>
      </c>
      <c r="Q75" s="66">
        <f t="shared" si="12"/>
        <v>0</v>
      </c>
      <c r="S75">
        <v>341</v>
      </c>
      <c r="T75">
        <v>342.8</v>
      </c>
      <c r="U75" s="17">
        <v>3.4181384399999999</v>
      </c>
      <c r="V75" s="66">
        <f t="shared" si="13"/>
        <v>0</v>
      </c>
      <c r="W75" s="66">
        <f t="shared" si="14"/>
        <v>0.5278592375366602</v>
      </c>
      <c r="Z75" s="4">
        <f t="shared" si="15"/>
        <v>0</v>
      </c>
      <c r="AA75" s="4">
        <f t="shared" si="16"/>
        <v>1</v>
      </c>
      <c r="AB75" s="4">
        <f t="shared" si="17"/>
        <v>0</v>
      </c>
      <c r="AC75" s="63"/>
      <c r="AD75" s="63"/>
      <c r="AF75" s="63">
        <f>IF($M75&lt;$S75,1,0)</f>
        <v>0</v>
      </c>
      <c r="AG75" s="63">
        <f>IF($M75=$S75,1,0)</f>
        <v>1</v>
      </c>
      <c r="AH75" s="63">
        <f>IF($M75&gt;$S75,1,0)</f>
        <v>0</v>
      </c>
    </row>
    <row r="76" spans="1:34" x14ac:dyDescent="0.6">
      <c r="A76" s="6" t="s">
        <v>479</v>
      </c>
      <c r="B76" s="24">
        <v>10</v>
      </c>
      <c r="C76" s="13" t="s">
        <v>973</v>
      </c>
      <c r="D76" s="13" t="s">
        <v>978</v>
      </c>
      <c r="E76" s="13" t="s">
        <v>982</v>
      </c>
      <c r="F76" s="10">
        <v>5</v>
      </c>
      <c r="G76" s="43" t="str">
        <f t="shared" si="9"/>
        <v>10_20-30_10-15_40-60</v>
      </c>
      <c r="H76">
        <v>346</v>
      </c>
      <c r="I76">
        <v>346</v>
      </c>
      <c r="J76" s="22">
        <v>1.53</v>
      </c>
      <c r="K76" s="66">
        <f t="shared" si="10"/>
        <v>0</v>
      </c>
      <c r="L76" s="10"/>
      <c r="M76" s="1">
        <v>346</v>
      </c>
      <c r="N76" s="1">
        <v>346</v>
      </c>
      <c r="O76" s="62">
        <v>1.01</v>
      </c>
      <c r="P76" s="66">
        <f t="shared" si="11"/>
        <v>0</v>
      </c>
      <c r="Q76" s="66">
        <f t="shared" si="12"/>
        <v>0</v>
      </c>
      <c r="S76">
        <v>346</v>
      </c>
      <c r="T76">
        <v>346</v>
      </c>
      <c r="U76" s="17">
        <v>3.7946583600000001</v>
      </c>
      <c r="V76" s="66">
        <f t="shared" si="13"/>
        <v>0</v>
      </c>
      <c r="W76" s="66">
        <f t="shared" si="14"/>
        <v>0</v>
      </c>
      <c r="Z76" s="4">
        <f t="shared" si="15"/>
        <v>0</v>
      </c>
      <c r="AA76" s="4">
        <f t="shared" si="16"/>
        <v>1</v>
      </c>
      <c r="AB76" s="4">
        <f t="shared" si="17"/>
        <v>0</v>
      </c>
      <c r="AC76" s="63"/>
      <c r="AD76" s="63"/>
      <c r="AF76" s="63">
        <f>IF($M76&lt;$S76,1,0)</f>
        <v>0</v>
      </c>
      <c r="AG76" s="63">
        <f>IF($M76=$S76,1,0)</f>
        <v>1</v>
      </c>
      <c r="AH76" s="63">
        <f>IF($M76&gt;$S76,1,0)</f>
        <v>0</v>
      </c>
    </row>
    <row r="77" spans="1:34" x14ac:dyDescent="0.6">
      <c r="A77" s="6" t="s">
        <v>480</v>
      </c>
      <c r="B77" s="24">
        <v>10</v>
      </c>
      <c r="C77" s="13" t="s">
        <v>973</v>
      </c>
      <c r="D77" s="13" t="s">
        <v>978</v>
      </c>
      <c r="E77" s="13" t="s">
        <v>982</v>
      </c>
      <c r="F77" s="10">
        <v>6</v>
      </c>
      <c r="G77" s="43" t="str">
        <f t="shared" si="9"/>
        <v>10_20-30_10-15_40-60</v>
      </c>
      <c r="H77">
        <v>368</v>
      </c>
      <c r="I77">
        <v>368</v>
      </c>
      <c r="J77" s="22">
        <v>0.92</v>
      </c>
      <c r="K77" s="66">
        <f t="shared" si="10"/>
        <v>0</v>
      </c>
      <c r="L77" s="10"/>
      <c r="M77" s="1">
        <v>368</v>
      </c>
      <c r="N77" s="1">
        <v>368</v>
      </c>
      <c r="O77" s="62">
        <v>1.01</v>
      </c>
      <c r="P77" s="66">
        <f t="shared" si="11"/>
        <v>0</v>
      </c>
      <c r="Q77" s="66">
        <f t="shared" si="12"/>
        <v>0</v>
      </c>
      <c r="S77">
        <v>368</v>
      </c>
      <c r="T77">
        <v>368.6</v>
      </c>
      <c r="U77" s="17">
        <v>3.6530769799999998</v>
      </c>
      <c r="V77" s="66">
        <f t="shared" si="13"/>
        <v>0</v>
      </c>
      <c r="W77" s="66">
        <f t="shared" si="14"/>
        <v>0.16304347826087573</v>
      </c>
      <c r="Z77" s="4">
        <f t="shared" si="15"/>
        <v>0</v>
      </c>
      <c r="AA77" s="4">
        <f t="shared" si="16"/>
        <v>1</v>
      </c>
      <c r="AB77" s="4">
        <f t="shared" si="17"/>
        <v>0</v>
      </c>
      <c r="AC77" s="63"/>
      <c r="AD77" s="63"/>
      <c r="AF77" s="63">
        <f>IF($M77&lt;$S77,1,0)</f>
        <v>0</v>
      </c>
      <c r="AG77" s="63">
        <f>IF($M77=$S77,1,0)</f>
        <v>1</v>
      </c>
      <c r="AH77" s="63">
        <f>IF($M77&gt;$S77,1,0)</f>
        <v>0</v>
      </c>
    </row>
    <row r="78" spans="1:34" x14ac:dyDescent="0.6">
      <c r="A78" s="6" t="s">
        <v>481</v>
      </c>
      <c r="B78" s="24">
        <v>10</v>
      </c>
      <c r="C78" s="13" t="s">
        <v>973</v>
      </c>
      <c r="D78" s="13" t="s">
        <v>978</v>
      </c>
      <c r="E78" s="13" t="s">
        <v>982</v>
      </c>
      <c r="F78" s="10">
        <v>7</v>
      </c>
      <c r="G78" s="43" t="str">
        <f t="shared" si="9"/>
        <v>10_20-30_10-15_40-60</v>
      </c>
      <c r="H78">
        <v>343</v>
      </c>
      <c r="I78">
        <v>343</v>
      </c>
      <c r="J78" s="22">
        <v>6.45</v>
      </c>
      <c r="K78" s="66">
        <f t="shared" si="10"/>
        <v>0</v>
      </c>
      <c r="L78" s="10"/>
      <c r="M78" s="1">
        <v>343</v>
      </c>
      <c r="N78" s="1">
        <v>343</v>
      </c>
      <c r="O78" s="62">
        <v>1.01</v>
      </c>
      <c r="P78" s="66">
        <f t="shared" si="11"/>
        <v>0</v>
      </c>
      <c r="Q78" s="66">
        <f t="shared" si="12"/>
        <v>0</v>
      </c>
      <c r="S78">
        <v>343</v>
      </c>
      <c r="T78">
        <v>343.8</v>
      </c>
      <c r="U78" s="17">
        <v>3.41662344</v>
      </c>
      <c r="V78" s="66">
        <f t="shared" si="13"/>
        <v>0</v>
      </c>
      <c r="W78" s="66">
        <f t="shared" si="14"/>
        <v>0.23323615160350189</v>
      </c>
      <c r="Z78" s="4">
        <f t="shared" si="15"/>
        <v>0</v>
      </c>
      <c r="AA78" s="4">
        <f t="shared" si="16"/>
        <v>1</v>
      </c>
      <c r="AB78" s="4">
        <f t="shared" si="17"/>
        <v>0</v>
      </c>
      <c r="AC78" s="63"/>
      <c r="AD78" s="63"/>
      <c r="AF78" s="63">
        <f>IF($M78&lt;$S78,1,0)</f>
        <v>0</v>
      </c>
      <c r="AG78" s="63">
        <f>IF($M78=$S78,1,0)</f>
        <v>1</v>
      </c>
      <c r="AH78" s="63">
        <f>IF($M78&gt;$S78,1,0)</f>
        <v>0</v>
      </c>
    </row>
    <row r="79" spans="1:34" x14ac:dyDescent="0.6">
      <c r="A79" s="6" t="s">
        <v>482</v>
      </c>
      <c r="B79" s="24">
        <v>10</v>
      </c>
      <c r="C79" s="13" t="s">
        <v>973</v>
      </c>
      <c r="D79" s="13" t="s">
        <v>978</v>
      </c>
      <c r="E79" s="13" t="s">
        <v>982</v>
      </c>
      <c r="F79" s="10">
        <v>8</v>
      </c>
      <c r="G79" s="43" t="str">
        <f t="shared" si="9"/>
        <v>10_20-30_10-15_40-60</v>
      </c>
      <c r="H79">
        <v>340</v>
      </c>
      <c r="I79">
        <v>340</v>
      </c>
      <c r="J79" s="22">
        <v>9.25</v>
      </c>
      <c r="K79" s="66">
        <f t="shared" si="10"/>
        <v>0</v>
      </c>
      <c r="L79" s="10"/>
      <c r="M79" s="1">
        <v>340</v>
      </c>
      <c r="N79" s="1">
        <v>340</v>
      </c>
      <c r="O79" s="62">
        <v>1.01</v>
      </c>
      <c r="P79" s="66">
        <f t="shared" si="11"/>
        <v>0</v>
      </c>
      <c r="Q79" s="66">
        <f t="shared" si="12"/>
        <v>0</v>
      </c>
      <c r="S79">
        <v>341</v>
      </c>
      <c r="T79">
        <v>341.6</v>
      </c>
      <c r="U79" s="17">
        <v>3.30594228</v>
      </c>
      <c r="V79" s="66">
        <f t="shared" si="13"/>
        <v>0.29411764705882354</v>
      </c>
      <c r="W79" s="66">
        <f t="shared" si="14"/>
        <v>0.47058823529412436</v>
      </c>
      <c r="Z79" s="4">
        <f t="shared" si="15"/>
        <v>0</v>
      </c>
      <c r="AA79" s="4">
        <f t="shared" si="16"/>
        <v>1</v>
      </c>
      <c r="AB79" s="4">
        <f t="shared" si="17"/>
        <v>0</v>
      </c>
      <c r="AC79" s="63"/>
      <c r="AD79" s="63"/>
      <c r="AF79" s="63">
        <f>IF($M79&lt;$S79,1,0)</f>
        <v>1</v>
      </c>
      <c r="AG79" s="63">
        <f>IF($M79=$S79,1,0)</f>
        <v>0</v>
      </c>
      <c r="AH79" s="63">
        <f>IF($M79&gt;$S79,1,0)</f>
        <v>0</v>
      </c>
    </row>
    <row r="80" spans="1:34" x14ac:dyDescent="0.6">
      <c r="A80" s="6" t="s">
        <v>483</v>
      </c>
      <c r="B80" s="24">
        <v>10</v>
      </c>
      <c r="C80" s="13" t="s">
        <v>973</v>
      </c>
      <c r="D80" s="13" t="s">
        <v>978</v>
      </c>
      <c r="E80" s="13" t="s">
        <v>982</v>
      </c>
      <c r="F80" s="10">
        <v>9</v>
      </c>
      <c r="G80" s="43" t="str">
        <f t="shared" si="9"/>
        <v>10_20-30_10-15_40-60</v>
      </c>
      <c r="H80">
        <v>335</v>
      </c>
      <c r="I80">
        <v>335</v>
      </c>
      <c r="J80" s="22">
        <v>5.31</v>
      </c>
      <c r="K80" s="66">
        <f t="shared" si="10"/>
        <v>0</v>
      </c>
      <c r="L80" s="10"/>
      <c r="M80" s="1">
        <v>335</v>
      </c>
      <c r="N80" s="1">
        <v>335</v>
      </c>
      <c r="O80" s="62">
        <v>1.01</v>
      </c>
      <c r="P80" s="66">
        <f t="shared" si="11"/>
        <v>0</v>
      </c>
      <c r="Q80" s="66">
        <f t="shared" si="12"/>
        <v>0</v>
      </c>
      <c r="S80">
        <v>335</v>
      </c>
      <c r="T80">
        <v>338</v>
      </c>
      <c r="U80" s="17">
        <v>3.2806237999999999</v>
      </c>
      <c r="V80" s="66">
        <f t="shared" si="13"/>
        <v>0</v>
      </c>
      <c r="W80" s="66">
        <f t="shared" si="14"/>
        <v>0.89552238805970152</v>
      </c>
      <c r="Z80" s="4">
        <f t="shared" si="15"/>
        <v>0</v>
      </c>
      <c r="AA80" s="4">
        <f t="shared" si="16"/>
        <v>1</v>
      </c>
      <c r="AB80" s="4">
        <f t="shared" si="17"/>
        <v>0</v>
      </c>
      <c r="AC80" s="63"/>
      <c r="AD80" s="63"/>
      <c r="AF80" s="63">
        <f>IF($M80&lt;$S80,1,0)</f>
        <v>0</v>
      </c>
      <c r="AG80" s="63">
        <f>IF($M80=$S80,1,0)</f>
        <v>1</v>
      </c>
      <c r="AH80" s="63">
        <f>IF($M80&gt;$S80,1,0)</f>
        <v>0</v>
      </c>
    </row>
    <row r="81" spans="1:34" x14ac:dyDescent="0.6">
      <c r="A81" s="6" t="s">
        <v>484</v>
      </c>
      <c r="B81" s="24">
        <v>10</v>
      </c>
      <c r="C81" s="13" t="s">
        <v>973</v>
      </c>
      <c r="D81" s="13" t="s">
        <v>978</v>
      </c>
      <c r="E81" s="13" t="s">
        <v>982</v>
      </c>
      <c r="F81" s="10">
        <v>10</v>
      </c>
      <c r="G81" s="43" t="str">
        <f t="shared" si="9"/>
        <v>10_20-30_10-15_40-60</v>
      </c>
      <c r="H81">
        <v>354</v>
      </c>
      <c r="I81">
        <v>354</v>
      </c>
      <c r="J81" s="22">
        <v>2.06</v>
      </c>
      <c r="K81" s="66">
        <f t="shared" si="10"/>
        <v>0</v>
      </c>
      <c r="L81" s="10"/>
      <c r="M81" s="1">
        <v>354</v>
      </c>
      <c r="N81" s="1">
        <v>354</v>
      </c>
      <c r="O81" s="62">
        <v>1.01</v>
      </c>
      <c r="P81" s="66">
        <f t="shared" si="11"/>
        <v>0</v>
      </c>
      <c r="Q81" s="66">
        <f t="shared" si="12"/>
        <v>0</v>
      </c>
      <c r="S81">
        <v>354</v>
      </c>
      <c r="T81">
        <v>355.2</v>
      </c>
      <c r="U81" s="17">
        <v>3.69314936</v>
      </c>
      <c r="V81" s="66">
        <f t="shared" si="13"/>
        <v>0</v>
      </c>
      <c r="W81" s="66">
        <f t="shared" si="14"/>
        <v>0.33898305084745439</v>
      </c>
      <c r="Z81" s="4">
        <f t="shared" si="15"/>
        <v>0</v>
      </c>
      <c r="AA81" s="4">
        <f t="shared" si="16"/>
        <v>1</v>
      </c>
      <c r="AB81" s="4">
        <f t="shared" si="17"/>
        <v>0</v>
      </c>
      <c r="AC81" s="63"/>
      <c r="AD81" s="63"/>
      <c r="AF81" s="63">
        <f>IF($M81&lt;$S81,1,0)</f>
        <v>0</v>
      </c>
      <c r="AG81" s="63">
        <f>IF($M81=$S81,1,0)</f>
        <v>1</v>
      </c>
      <c r="AH81" s="63">
        <f>IF($M81&gt;$S81,1,0)</f>
        <v>0</v>
      </c>
    </row>
    <row r="82" spans="1:34" x14ac:dyDescent="0.6">
      <c r="A82" s="6" t="s">
        <v>485</v>
      </c>
      <c r="B82" s="24">
        <v>15</v>
      </c>
      <c r="C82" s="12" t="s">
        <v>971</v>
      </c>
      <c r="D82" s="13" t="s">
        <v>977</v>
      </c>
      <c r="E82" s="13" t="s">
        <v>981</v>
      </c>
      <c r="F82" s="10">
        <v>1</v>
      </c>
      <c r="G82" s="43" t="str">
        <f t="shared" si="9"/>
        <v>15_10-20_5-10_20-40</v>
      </c>
      <c r="H82">
        <v>283</v>
      </c>
      <c r="I82">
        <v>285</v>
      </c>
      <c r="J82" s="22">
        <v>3600.01</v>
      </c>
      <c r="K82" s="66">
        <f t="shared" si="10"/>
        <v>0.70671378091872794</v>
      </c>
      <c r="L82" s="10"/>
      <c r="M82" s="1">
        <v>285</v>
      </c>
      <c r="N82" s="1">
        <v>285</v>
      </c>
      <c r="O82" s="62">
        <v>1.51</v>
      </c>
      <c r="P82" s="66">
        <f t="shared" si="11"/>
        <v>0.70671378091872794</v>
      </c>
      <c r="Q82" s="66">
        <f t="shared" si="12"/>
        <v>0.70671378091872794</v>
      </c>
      <c r="S82">
        <v>285</v>
      </c>
      <c r="T82">
        <v>287.8</v>
      </c>
      <c r="U82" s="17">
        <v>3.9412907399999999</v>
      </c>
      <c r="V82" s="66">
        <f t="shared" si="13"/>
        <v>0.70671378091872794</v>
      </c>
      <c r="W82" s="66">
        <f t="shared" si="14"/>
        <v>1.6961130742049511</v>
      </c>
      <c r="Z82" s="4">
        <f t="shared" si="15"/>
        <v>0</v>
      </c>
      <c r="AA82" s="4">
        <f t="shared" si="16"/>
        <v>1</v>
      </c>
      <c r="AB82" s="4">
        <f t="shared" si="17"/>
        <v>0</v>
      </c>
      <c r="AC82" s="63"/>
      <c r="AD82" s="63"/>
      <c r="AF82" s="63">
        <f>IF($M82&lt;$S82,1,0)</f>
        <v>0</v>
      </c>
      <c r="AG82" s="63">
        <f>IF($M82=$S82,1,0)</f>
        <v>1</v>
      </c>
      <c r="AH82" s="63">
        <f>IF($M82&gt;$S82,1,0)</f>
        <v>0</v>
      </c>
    </row>
    <row r="83" spans="1:34" x14ac:dyDescent="0.6">
      <c r="A83" s="6" t="s">
        <v>486</v>
      </c>
      <c r="B83" s="24">
        <v>15</v>
      </c>
      <c r="C83" s="12" t="s">
        <v>971</v>
      </c>
      <c r="D83" s="13" t="s">
        <v>977</v>
      </c>
      <c r="E83" s="13" t="s">
        <v>981</v>
      </c>
      <c r="F83" s="10">
        <v>2</v>
      </c>
      <c r="G83" s="43" t="str">
        <f t="shared" si="9"/>
        <v>15_10-20_5-10_20-40</v>
      </c>
      <c r="H83">
        <v>275</v>
      </c>
      <c r="I83">
        <v>278</v>
      </c>
      <c r="J83" s="22">
        <v>3600.02</v>
      </c>
      <c r="K83" s="66">
        <f t="shared" si="10"/>
        <v>1.0909090909090911</v>
      </c>
      <c r="L83" s="10"/>
      <c r="M83" s="1">
        <v>278</v>
      </c>
      <c r="N83" s="1">
        <v>278</v>
      </c>
      <c r="O83" s="62">
        <v>1.5</v>
      </c>
      <c r="P83" s="66">
        <f t="shared" si="11"/>
        <v>1.0909090909090911</v>
      </c>
      <c r="Q83" s="66">
        <f t="shared" si="12"/>
        <v>1.0909090909090911</v>
      </c>
      <c r="S83">
        <v>278</v>
      </c>
      <c r="T83">
        <v>279</v>
      </c>
      <c r="U83" s="17">
        <v>3.9553355799999999</v>
      </c>
      <c r="V83" s="66">
        <f t="shared" si="13"/>
        <v>1.0909090909090911</v>
      </c>
      <c r="W83" s="66">
        <f t="shared" si="14"/>
        <v>1.4545454545454546</v>
      </c>
      <c r="Z83" s="4">
        <f t="shared" si="15"/>
        <v>0</v>
      </c>
      <c r="AA83" s="4">
        <f t="shared" si="16"/>
        <v>1</v>
      </c>
      <c r="AB83" s="4">
        <f t="shared" si="17"/>
        <v>0</v>
      </c>
      <c r="AC83" s="63"/>
      <c r="AD83" s="63"/>
      <c r="AF83" s="63">
        <f>IF($M83&lt;$S83,1,0)</f>
        <v>0</v>
      </c>
      <c r="AG83" s="63">
        <f>IF($M83=$S83,1,0)</f>
        <v>1</v>
      </c>
      <c r="AH83" s="63">
        <f>IF($M83&gt;$S83,1,0)</f>
        <v>0</v>
      </c>
    </row>
    <row r="84" spans="1:34" x14ac:dyDescent="0.6">
      <c r="A84" s="6" t="s">
        <v>487</v>
      </c>
      <c r="B84" s="24">
        <v>15</v>
      </c>
      <c r="C84" s="12" t="s">
        <v>970</v>
      </c>
      <c r="D84" s="13" t="s">
        <v>976</v>
      </c>
      <c r="E84" s="13" t="s">
        <v>980</v>
      </c>
      <c r="F84" s="10">
        <v>3</v>
      </c>
      <c r="G84" s="43" t="str">
        <f t="shared" si="9"/>
        <v>15_10-20_5-10_20-40</v>
      </c>
      <c r="H84">
        <v>281</v>
      </c>
      <c r="I84">
        <v>284</v>
      </c>
      <c r="J84" s="22">
        <v>3600.02</v>
      </c>
      <c r="K84" s="66">
        <f t="shared" si="10"/>
        <v>1.0676156583629894</v>
      </c>
      <c r="L84" s="10"/>
      <c r="M84" s="1">
        <v>284</v>
      </c>
      <c r="N84" s="1">
        <v>284</v>
      </c>
      <c r="O84" s="62">
        <v>1.51</v>
      </c>
      <c r="P84" s="66">
        <f t="shared" si="11"/>
        <v>1.0676156583629894</v>
      </c>
      <c r="Q84" s="66">
        <f t="shared" si="12"/>
        <v>1.0676156583629894</v>
      </c>
      <c r="S84">
        <v>285</v>
      </c>
      <c r="T84">
        <v>286.60000000000002</v>
      </c>
      <c r="U84" s="17">
        <v>3.9263551200000002</v>
      </c>
      <c r="V84" s="66">
        <f t="shared" si="13"/>
        <v>1.4234875444839856</v>
      </c>
      <c r="W84" s="66">
        <f t="shared" si="14"/>
        <v>1.9928825622775881</v>
      </c>
      <c r="Z84" s="4">
        <f t="shared" si="15"/>
        <v>0</v>
      </c>
      <c r="AA84" s="4">
        <f t="shared" si="16"/>
        <v>1</v>
      </c>
      <c r="AB84" s="4">
        <f t="shared" si="17"/>
        <v>0</v>
      </c>
      <c r="AC84" s="63"/>
      <c r="AD84" s="63"/>
      <c r="AF84" s="63">
        <f>IF($M84&lt;$S84,1,0)</f>
        <v>1</v>
      </c>
      <c r="AG84" s="63">
        <f>IF($M84=$S84,1,0)</f>
        <v>0</v>
      </c>
      <c r="AH84" s="63">
        <f>IF($M84&gt;$S84,1,0)</f>
        <v>0</v>
      </c>
    </row>
    <row r="85" spans="1:34" x14ac:dyDescent="0.6">
      <c r="A85" s="6" t="s">
        <v>488</v>
      </c>
      <c r="B85" s="24">
        <v>15</v>
      </c>
      <c r="C85" s="12" t="s">
        <v>970</v>
      </c>
      <c r="D85" s="13" t="s">
        <v>976</v>
      </c>
      <c r="E85" s="13" t="s">
        <v>980</v>
      </c>
      <c r="F85" s="10">
        <v>4</v>
      </c>
      <c r="G85" s="43" t="str">
        <f t="shared" si="9"/>
        <v>15_10-20_5-10_20-40</v>
      </c>
      <c r="H85">
        <v>291</v>
      </c>
      <c r="I85">
        <v>296</v>
      </c>
      <c r="J85" s="22">
        <v>3600.02</v>
      </c>
      <c r="K85" s="66">
        <f t="shared" si="10"/>
        <v>1.7182130584192441</v>
      </c>
      <c r="L85" s="10"/>
      <c r="M85" s="1">
        <v>296</v>
      </c>
      <c r="N85" s="1">
        <v>296</v>
      </c>
      <c r="O85" s="62">
        <v>1.51</v>
      </c>
      <c r="P85" s="66">
        <f t="shared" si="11"/>
        <v>1.7182130584192441</v>
      </c>
      <c r="Q85" s="66">
        <f t="shared" si="12"/>
        <v>1.7182130584192441</v>
      </c>
      <c r="S85">
        <v>297</v>
      </c>
      <c r="T85">
        <v>300</v>
      </c>
      <c r="U85" s="17">
        <v>4.0559873599999996</v>
      </c>
      <c r="V85" s="66">
        <f t="shared" si="13"/>
        <v>2.0618556701030926</v>
      </c>
      <c r="W85" s="66">
        <f t="shared" si="14"/>
        <v>3.0927835051546393</v>
      </c>
      <c r="Z85" s="4">
        <f t="shared" si="15"/>
        <v>0</v>
      </c>
      <c r="AA85" s="4">
        <f t="shared" si="16"/>
        <v>1</v>
      </c>
      <c r="AB85" s="4">
        <f t="shared" si="17"/>
        <v>0</v>
      </c>
      <c r="AC85" s="63"/>
      <c r="AD85" s="63"/>
      <c r="AF85" s="63">
        <f>IF($M85&lt;$S85,1,0)</f>
        <v>1</v>
      </c>
      <c r="AG85" s="63">
        <f>IF($M85=$S85,1,0)</f>
        <v>0</v>
      </c>
      <c r="AH85" s="63">
        <f>IF($M85&gt;$S85,1,0)</f>
        <v>0</v>
      </c>
    </row>
    <row r="86" spans="1:34" x14ac:dyDescent="0.6">
      <c r="A86" s="6" t="s">
        <v>489</v>
      </c>
      <c r="B86" s="24">
        <v>15</v>
      </c>
      <c r="C86" s="12" t="s">
        <v>970</v>
      </c>
      <c r="D86" s="13" t="s">
        <v>976</v>
      </c>
      <c r="E86" s="13" t="s">
        <v>980</v>
      </c>
      <c r="F86" s="10">
        <v>5</v>
      </c>
      <c r="G86" s="43" t="str">
        <f t="shared" si="9"/>
        <v>15_10-20_5-10_20-40</v>
      </c>
      <c r="H86">
        <v>278</v>
      </c>
      <c r="I86">
        <v>282</v>
      </c>
      <c r="J86" s="22">
        <v>3600.02</v>
      </c>
      <c r="K86" s="66">
        <f t="shared" si="10"/>
        <v>1.4388489208633095</v>
      </c>
      <c r="L86" s="10"/>
      <c r="M86" s="1">
        <v>282</v>
      </c>
      <c r="N86" s="1">
        <v>282</v>
      </c>
      <c r="O86" s="62">
        <v>1.51</v>
      </c>
      <c r="P86" s="66">
        <f t="shared" si="11"/>
        <v>1.4388489208633095</v>
      </c>
      <c r="Q86" s="66">
        <f t="shared" si="12"/>
        <v>1.4388489208633095</v>
      </c>
      <c r="S86">
        <v>282</v>
      </c>
      <c r="T86">
        <v>285</v>
      </c>
      <c r="U86" s="17">
        <v>4.4463834200000001</v>
      </c>
      <c r="V86" s="66">
        <f t="shared" si="13"/>
        <v>1.4388489208633095</v>
      </c>
      <c r="W86" s="66">
        <f t="shared" si="14"/>
        <v>2.5179856115107913</v>
      </c>
      <c r="Z86" s="4">
        <f t="shared" si="15"/>
        <v>0</v>
      </c>
      <c r="AA86" s="4">
        <f t="shared" si="16"/>
        <v>1</v>
      </c>
      <c r="AB86" s="4">
        <f t="shared" si="17"/>
        <v>0</v>
      </c>
      <c r="AC86" s="63"/>
      <c r="AD86" s="63"/>
      <c r="AF86" s="63">
        <f>IF($M86&lt;$S86,1,0)</f>
        <v>0</v>
      </c>
      <c r="AG86" s="63">
        <f>IF($M86=$S86,1,0)</f>
        <v>1</v>
      </c>
      <c r="AH86" s="63">
        <f>IF($M86&gt;$S86,1,0)</f>
        <v>0</v>
      </c>
    </row>
    <row r="87" spans="1:34" x14ac:dyDescent="0.6">
      <c r="A87" s="6" t="s">
        <v>490</v>
      </c>
      <c r="B87" s="24">
        <v>15</v>
      </c>
      <c r="C87" s="12" t="s">
        <v>970</v>
      </c>
      <c r="D87" s="13" t="s">
        <v>976</v>
      </c>
      <c r="E87" s="13" t="s">
        <v>980</v>
      </c>
      <c r="F87" s="10">
        <v>6</v>
      </c>
      <c r="G87" s="43" t="str">
        <f t="shared" si="9"/>
        <v>15_10-20_5-10_20-40</v>
      </c>
      <c r="H87">
        <v>309</v>
      </c>
      <c r="I87">
        <v>311</v>
      </c>
      <c r="J87" s="22">
        <v>3600.02</v>
      </c>
      <c r="K87" s="66">
        <f t="shared" si="10"/>
        <v>0.64724919093851141</v>
      </c>
      <c r="L87" s="10"/>
      <c r="M87" s="1">
        <v>311</v>
      </c>
      <c r="N87" s="1">
        <v>311</v>
      </c>
      <c r="O87" s="62">
        <v>1.51</v>
      </c>
      <c r="P87" s="66">
        <f t="shared" si="11"/>
        <v>0.64724919093851141</v>
      </c>
      <c r="Q87" s="66">
        <f t="shared" si="12"/>
        <v>0.64724919093851141</v>
      </c>
      <c r="S87">
        <v>313</v>
      </c>
      <c r="T87">
        <v>313.60000000000002</v>
      </c>
      <c r="U87" s="17">
        <v>4.2984805399999999</v>
      </c>
      <c r="V87" s="66">
        <f t="shared" si="13"/>
        <v>1.2944983818770228</v>
      </c>
      <c r="W87" s="66">
        <f t="shared" si="14"/>
        <v>1.4886731391585832</v>
      </c>
      <c r="Z87" s="4">
        <f t="shared" si="15"/>
        <v>0</v>
      </c>
      <c r="AA87" s="4">
        <f t="shared" si="16"/>
        <v>1</v>
      </c>
      <c r="AB87" s="4">
        <f t="shared" si="17"/>
        <v>0</v>
      </c>
      <c r="AC87" s="63"/>
      <c r="AD87" s="63"/>
      <c r="AF87" s="63">
        <f>IF($M87&lt;$S87,1,0)</f>
        <v>1</v>
      </c>
      <c r="AG87" s="63">
        <f>IF($M87=$S87,1,0)</f>
        <v>0</v>
      </c>
      <c r="AH87" s="63">
        <f>IF($M87&gt;$S87,1,0)</f>
        <v>0</v>
      </c>
    </row>
    <row r="88" spans="1:34" x14ac:dyDescent="0.6">
      <c r="A88" s="6" t="s">
        <v>491</v>
      </c>
      <c r="B88" s="24">
        <v>15</v>
      </c>
      <c r="C88" s="12" t="s">
        <v>970</v>
      </c>
      <c r="D88" s="13" t="s">
        <v>976</v>
      </c>
      <c r="E88" s="13" t="s">
        <v>980</v>
      </c>
      <c r="F88" s="10">
        <v>7</v>
      </c>
      <c r="G88" s="43" t="str">
        <f t="shared" si="9"/>
        <v>15_10-20_5-10_20-40</v>
      </c>
      <c r="H88">
        <v>297</v>
      </c>
      <c r="I88">
        <v>300</v>
      </c>
      <c r="J88" s="22">
        <v>3600.02</v>
      </c>
      <c r="K88" s="66">
        <f t="shared" si="10"/>
        <v>1.0101010101010102</v>
      </c>
      <c r="L88" s="10"/>
      <c r="M88" s="1">
        <v>298</v>
      </c>
      <c r="N88" s="1">
        <v>298</v>
      </c>
      <c r="O88" s="62">
        <v>1.51</v>
      </c>
      <c r="P88" s="66">
        <f t="shared" si="11"/>
        <v>0.33670033670033667</v>
      </c>
      <c r="Q88" s="66">
        <f t="shared" si="12"/>
        <v>0.33670033670033667</v>
      </c>
      <c r="S88">
        <v>299</v>
      </c>
      <c r="T88">
        <v>301</v>
      </c>
      <c r="U88" s="17">
        <v>4.01257544</v>
      </c>
      <c r="V88" s="66">
        <f t="shared" si="13"/>
        <v>0.67340067340067333</v>
      </c>
      <c r="W88" s="66">
        <f t="shared" si="14"/>
        <v>1.3468013468013467</v>
      </c>
      <c r="Z88" s="4">
        <f t="shared" si="15"/>
        <v>1</v>
      </c>
      <c r="AA88" s="4">
        <f t="shared" si="16"/>
        <v>0</v>
      </c>
      <c r="AB88" s="4">
        <f t="shared" si="17"/>
        <v>0</v>
      </c>
      <c r="AC88" s="63"/>
      <c r="AD88" s="63"/>
      <c r="AF88" s="63">
        <f>IF($M88&lt;$S88,1,0)</f>
        <v>1</v>
      </c>
      <c r="AG88" s="63">
        <f>IF($M88=$S88,1,0)</f>
        <v>0</v>
      </c>
      <c r="AH88" s="63">
        <f>IF($M88&gt;$S88,1,0)</f>
        <v>0</v>
      </c>
    </row>
    <row r="89" spans="1:34" x14ac:dyDescent="0.6">
      <c r="A89" s="6" t="s">
        <v>492</v>
      </c>
      <c r="B89" s="24">
        <v>15</v>
      </c>
      <c r="C89" s="12" t="s">
        <v>970</v>
      </c>
      <c r="D89" s="13" t="s">
        <v>976</v>
      </c>
      <c r="E89" s="13" t="s">
        <v>980</v>
      </c>
      <c r="F89" s="10">
        <v>8</v>
      </c>
      <c r="G89" s="43" t="str">
        <f t="shared" si="9"/>
        <v>15_10-20_5-10_20-40</v>
      </c>
      <c r="H89">
        <v>288</v>
      </c>
      <c r="I89">
        <v>295</v>
      </c>
      <c r="J89" s="22">
        <v>3600.02</v>
      </c>
      <c r="K89" s="66">
        <f t="shared" si="10"/>
        <v>2.4305555555555558</v>
      </c>
      <c r="L89" s="10"/>
      <c r="M89" s="1">
        <v>294</v>
      </c>
      <c r="N89" s="1">
        <v>294</v>
      </c>
      <c r="O89" s="62">
        <v>1.51</v>
      </c>
      <c r="P89" s="66">
        <f t="shared" si="11"/>
        <v>2.083333333333333</v>
      </c>
      <c r="Q89" s="66">
        <f t="shared" si="12"/>
        <v>2.083333333333333</v>
      </c>
      <c r="S89">
        <v>295</v>
      </c>
      <c r="T89">
        <v>296.2</v>
      </c>
      <c r="U89" s="17">
        <v>4.4665972399999996</v>
      </c>
      <c r="V89" s="66">
        <f t="shared" si="13"/>
        <v>2.4305555555555558</v>
      </c>
      <c r="W89" s="66">
        <f t="shared" si="14"/>
        <v>2.8472222222222183</v>
      </c>
      <c r="Z89" s="4">
        <f t="shared" si="15"/>
        <v>1</v>
      </c>
      <c r="AA89" s="4">
        <f t="shared" si="16"/>
        <v>0</v>
      </c>
      <c r="AB89" s="4">
        <f t="shared" si="17"/>
        <v>0</v>
      </c>
      <c r="AC89" s="63"/>
      <c r="AD89" s="63"/>
      <c r="AF89" s="63">
        <f>IF($M89&lt;$S89,1,0)</f>
        <v>1</v>
      </c>
      <c r="AG89" s="63">
        <f>IF($M89=$S89,1,0)</f>
        <v>0</v>
      </c>
      <c r="AH89" s="63">
        <f>IF($M89&gt;$S89,1,0)</f>
        <v>0</v>
      </c>
    </row>
    <row r="90" spans="1:34" x14ac:dyDescent="0.6">
      <c r="A90" s="6" t="s">
        <v>493</v>
      </c>
      <c r="B90" s="24">
        <v>15</v>
      </c>
      <c r="C90" s="12" t="s">
        <v>970</v>
      </c>
      <c r="D90" s="13" t="s">
        <v>976</v>
      </c>
      <c r="E90" s="13" t="s">
        <v>980</v>
      </c>
      <c r="F90" s="10">
        <v>9</v>
      </c>
      <c r="G90" s="43" t="str">
        <f t="shared" si="9"/>
        <v>15_10-20_5-10_20-40</v>
      </c>
      <c r="H90">
        <v>287</v>
      </c>
      <c r="I90">
        <v>290</v>
      </c>
      <c r="J90" s="22">
        <v>3600.02</v>
      </c>
      <c r="K90" s="66">
        <f t="shared" si="10"/>
        <v>1.0452961672473868</v>
      </c>
      <c r="L90" s="10"/>
      <c r="M90" s="1">
        <v>290</v>
      </c>
      <c r="N90" s="1">
        <v>290</v>
      </c>
      <c r="O90" s="62">
        <v>1.51</v>
      </c>
      <c r="P90" s="66">
        <f t="shared" si="11"/>
        <v>1.0452961672473868</v>
      </c>
      <c r="Q90" s="66">
        <f t="shared" si="12"/>
        <v>1.0452961672473868</v>
      </c>
      <c r="S90">
        <v>291</v>
      </c>
      <c r="T90">
        <v>292.60000000000002</v>
      </c>
      <c r="U90" s="17">
        <v>3.8879124200000001</v>
      </c>
      <c r="V90" s="66">
        <f t="shared" si="13"/>
        <v>1.3937282229965158</v>
      </c>
      <c r="W90" s="66">
        <f t="shared" si="14"/>
        <v>1.9512195121951299</v>
      </c>
      <c r="Z90" s="4">
        <f t="shared" si="15"/>
        <v>0</v>
      </c>
      <c r="AA90" s="4">
        <f t="shared" si="16"/>
        <v>1</v>
      </c>
      <c r="AB90" s="4">
        <f t="shared" si="17"/>
        <v>0</v>
      </c>
      <c r="AC90" s="63"/>
      <c r="AD90" s="63"/>
      <c r="AF90" s="63">
        <f>IF($M90&lt;$S90,1,0)</f>
        <v>1</v>
      </c>
      <c r="AG90" s="63">
        <f>IF($M90=$S90,1,0)</f>
        <v>0</v>
      </c>
      <c r="AH90" s="63">
        <f>IF($M90&gt;$S90,1,0)</f>
        <v>0</v>
      </c>
    </row>
    <row r="91" spans="1:34" x14ac:dyDescent="0.6">
      <c r="A91" s="6" t="s">
        <v>494</v>
      </c>
      <c r="B91" s="24">
        <v>15</v>
      </c>
      <c r="C91" s="12" t="s">
        <v>970</v>
      </c>
      <c r="D91" s="13" t="s">
        <v>976</v>
      </c>
      <c r="E91" s="13" t="s">
        <v>980</v>
      </c>
      <c r="F91" s="10">
        <v>10</v>
      </c>
      <c r="G91" s="43" t="str">
        <f t="shared" si="9"/>
        <v>15_10-20_5-10_20-40</v>
      </c>
      <c r="H91">
        <v>304</v>
      </c>
      <c r="I91">
        <v>306</v>
      </c>
      <c r="J91" s="22">
        <v>3600.02</v>
      </c>
      <c r="K91" s="66">
        <f t="shared" si="10"/>
        <v>0.6578947368421052</v>
      </c>
      <c r="L91" s="10"/>
      <c r="M91" s="1">
        <v>306</v>
      </c>
      <c r="N91" s="1">
        <v>306</v>
      </c>
      <c r="O91" s="62">
        <v>1.51</v>
      </c>
      <c r="P91" s="66">
        <f t="shared" si="11"/>
        <v>0.6578947368421052</v>
      </c>
      <c r="Q91" s="66">
        <f t="shared" si="12"/>
        <v>0.6578947368421052</v>
      </c>
      <c r="S91">
        <v>307</v>
      </c>
      <c r="T91">
        <v>309.8</v>
      </c>
      <c r="U91" s="17">
        <v>3.8766782399999999</v>
      </c>
      <c r="V91" s="66">
        <f t="shared" si="13"/>
        <v>0.98684210526315785</v>
      </c>
      <c r="W91" s="66">
        <f t="shared" si="14"/>
        <v>1.9078947368421091</v>
      </c>
      <c r="Z91" s="4">
        <f t="shared" si="15"/>
        <v>0</v>
      </c>
      <c r="AA91" s="4">
        <f t="shared" si="16"/>
        <v>1</v>
      </c>
      <c r="AB91" s="4">
        <f t="shared" si="17"/>
        <v>0</v>
      </c>
      <c r="AC91" s="63"/>
      <c r="AD91" s="63"/>
      <c r="AF91" s="63">
        <f>IF($M91&lt;$S91,1,0)</f>
        <v>1</v>
      </c>
      <c r="AG91" s="63">
        <f>IF($M91=$S91,1,0)</f>
        <v>0</v>
      </c>
      <c r="AH91" s="63">
        <f>IF($M91&gt;$S91,1,0)</f>
        <v>0</v>
      </c>
    </row>
    <row r="92" spans="1:34" x14ac:dyDescent="0.6">
      <c r="A92" s="6" t="s">
        <v>495</v>
      </c>
      <c r="B92" s="24">
        <v>15</v>
      </c>
      <c r="C92" s="12" t="s">
        <v>970</v>
      </c>
      <c r="D92" s="13" t="s">
        <v>976</v>
      </c>
      <c r="E92" s="13" t="s">
        <v>984</v>
      </c>
      <c r="F92" s="10">
        <v>1</v>
      </c>
      <c r="G92" s="43" t="str">
        <f t="shared" si="9"/>
        <v>15_10-20_5-10_40-60</v>
      </c>
      <c r="H92">
        <v>283</v>
      </c>
      <c r="I92">
        <v>285</v>
      </c>
      <c r="J92" s="22">
        <v>3600.02</v>
      </c>
      <c r="K92" s="66">
        <f t="shared" si="10"/>
        <v>0.70671378091872794</v>
      </c>
      <c r="L92" s="10"/>
      <c r="M92" s="1">
        <v>285</v>
      </c>
      <c r="N92" s="1">
        <v>285</v>
      </c>
      <c r="O92" s="62">
        <v>1.51</v>
      </c>
      <c r="P92" s="66">
        <f t="shared" si="11"/>
        <v>0.70671378091872794</v>
      </c>
      <c r="Q92" s="66">
        <f t="shared" si="12"/>
        <v>0.70671378091872794</v>
      </c>
      <c r="S92">
        <v>286</v>
      </c>
      <c r="T92">
        <v>287.2</v>
      </c>
      <c r="U92" s="17">
        <v>3.8702336000000002</v>
      </c>
      <c r="V92" s="66">
        <f t="shared" si="13"/>
        <v>1.0600706713780919</v>
      </c>
      <c r="W92" s="66">
        <f t="shared" si="14"/>
        <v>1.4840989399293247</v>
      </c>
      <c r="Z92" s="4">
        <f t="shared" si="15"/>
        <v>0</v>
      </c>
      <c r="AA92" s="4">
        <f t="shared" si="16"/>
        <v>1</v>
      </c>
      <c r="AB92" s="4">
        <f t="shared" si="17"/>
        <v>0</v>
      </c>
      <c r="AC92" s="63"/>
      <c r="AD92" s="63"/>
      <c r="AF92" s="63">
        <f>IF($M92&lt;$S92,1,0)</f>
        <v>1</v>
      </c>
      <c r="AG92" s="63">
        <f>IF($M92=$S92,1,0)</f>
        <v>0</v>
      </c>
      <c r="AH92" s="63">
        <f>IF($M92&gt;$S92,1,0)</f>
        <v>0</v>
      </c>
    </row>
    <row r="93" spans="1:34" x14ac:dyDescent="0.6">
      <c r="A93" s="6" t="s">
        <v>496</v>
      </c>
      <c r="B93" s="24">
        <v>15</v>
      </c>
      <c r="C93" s="12" t="s">
        <v>970</v>
      </c>
      <c r="D93" s="13" t="s">
        <v>976</v>
      </c>
      <c r="E93" s="13" t="s">
        <v>984</v>
      </c>
      <c r="F93" s="10">
        <v>2</v>
      </c>
      <c r="G93" s="43" t="str">
        <f t="shared" si="9"/>
        <v>15_10-20_5-10_40-60</v>
      </c>
      <c r="H93">
        <v>275</v>
      </c>
      <c r="I93">
        <v>279</v>
      </c>
      <c r="J93" s="22">
        <v>3600.01</v>
      </c>
      <c r="K93" s="66">
        <f t="shared" si="10"/>
        <v>1.4545454545454546</v>
      </c>
      <c r="L93" s="10"/>
      <c r="M93" s="1">
        <v>278</v>
      </c>
      <c r="N93" s="1">
        <v>278</v>
      </c>
      <c r="O93" s="62">
        <v>1.51</v>
      </c>
      <c r="P93" s="66">
        <f t="shared" si="11"/>
        <v>1.0909090909090911</v>
      </c>
      <c r="Q93" s="66">
        <f t="shared" si="12"/>
        <v>1.0909090909090911</v>
      </c>
      <c r="S93">
        <v>281</v>
      </c>
      <c r="T93">
        <v>282.8</v>
      </c>
      <c r="U93" s="17">
        <v>4.0737028400000002</v>
      </c>
      <c r="V93" s="66">
        <f t="shared" si="13"/>
        <v>2.1818181818181821</v>
      </c>
      <c r="W93" s="66">
        <f t="shared" si="14"/>
        <v>2.8363636363636404</v>
      </c>
      <c r="Z93" s="4">
        <f t="shared" si="15"/>
        <v>1</v>
      </c>
      <c r="AA93" s="4">
        <f t="shared" si="16"/>
        <v>0</v>
      </c>
      <c r="AB93" s="4">
        <f t="shared" si="17"/>
        <v>0</v>
      </c>
      <c r="AC93" s="63"/>
      <c r="AD93" s="63"/>
      <c r="AF93" s="63">
        <f>IF($M93&lt;$S93,1,0)</f>
        <v>1</v>
      </c>
      <c r="AG93" s="63">
        <f>IF($M93=$S93,1,0)</f>
        <v>0</v>
      </c>
      <c r="AH93" s="63">
        <f>IF($M93&gt;$S93,1,0)</f>
        <v>0</v>
      </c>
    </row>
    <row r="94" spans="1:34" x14ac:dyDescent="0.6">
      <c r="A94" s="6" t="s">
        <v>497</v>
      </c>
      <c r="B94" s="24">
        <v>15</v>
      </c>
      <c r="C94" s="12" t="s">
        <v>970</v>
      </c>
      <c r="D94" s="13" t="s">
        <v>976</v>
      </c>
      <c r="E94" s="13" t="s">
        <v>982</v>
      </c>
      <c r="F94" s="10">
        <v>3</v>
      </c>
      <c r="G94" s="43" t="str">
        <f t="shared" si="9"/>
        <v>15_10-20_5-10_40-60</v>
      </c>
      <c r="H94">
        <v>281</v>
      </c>
      <c r="I94">
        <v>285</v>
      </c>
      <c r="J94" s="22">
        <v>3600.04</v>
      </c>
      <c r="K94" s="66">
        <f t="shared" si="10"/>
        <v>1.4234875444839856</v>
      </c>
      <c r="L94" s="10"/>
      <c r="M94" s="1">
        <v>285</v>
      </c>
      <c r="N94" s="1">
        <v>285</v>
      </c>
      <c r="O94" s="62">
        <v>1.51</v>
      </c>
      <c r="P94" s="66">
        <f t="shared" si="11"/>
        <v>1.4234875444839856</v>
      </c>
      <c r="Q94" s="66">
        <f t="shared" si="12"/>
        <v>1.4234875444839856</v>
      </c>
      <c r="S94">
        <v>288</v>
      </c>
      <c r="T94">
        <v>288.60000000000002</v>
      </c>
      <c r="U94" s="17">
        <v>4.0401757199999997</v>
      </c>
      <c r="V94" s="66">
        <f t="shared" si="13"/>
        <v>2.4911032028469751</v>
      </c>
      <c r="W94" s="66">
        <f t="shared" si="14"/>
        <v>2.7046263345195811</v>
      </c>
      <c r="Z94" s="4">
        <f t="shared" si="15"/>
        <v>0</v>
      </c>
      <c r="AA94" s="4">
        <f t="shared" si="16"/>
        <v>1</v>
      </c>
      <c r="AB94" s="4">
        <f t="shared" si="17"/>
        <v>0</v>
      </c>
      <c r="AC94" s="63"/>
      <c r="AD94" s="63"/>
      <c r="AF94" s="63">
        <f>IF($M94&lt;$S94,1,0)</f>
        <v>1</v>
      </c>
      <c r="AG94" s="63">
        <f>IF($M94=$S94,1,0)</f>
        <v>0</v>
      </c>
      <c r="AH94" s="63">
        <f>IF($M94&gt;$S94,1,0)</f>
        <v>0</v>
      </c>
    </row>
    <row r="95" spans="1:34" x14ac:dyDescent="0.6">
      <c r="A95" s="6" t="s">
        <v>498</v>
      </c>
      <c r="B95" s="24">
        <v>15</v>
      </c>
      <c r="C95" s="12" t="s">
        <v>970</v>
      </c>
      <c r="D95" s="13" t="s">
        <v>976</v>
      </c>
      <c r="E95" s="13" t="s">
        <v>982</v>
      </c>
      <c r="F95" s="10">
        <v>4</v>
      </c>
      <c r="G95" s="43" t="str">
        <f t="shared" si="9"/>
        <v>15_10-20_5-10_40-60</v>
      </c>
      <c r="H95">
        <v>291</v>
      </c>
      <c r="I95">
        <v>297</v>
      </c>
      <c r="J95" s="22">
        <v>3600.04</v>
      </c>
      <c r="K95" s="66">
        <f t="shared" si="10"/>
        <v>2.0618556701030926</v>
      </c>
      <c r="L95" s="10"/>
      <c r="M95" s="1">
        <v>297</v>
      </c>
      <c r="N95" s="1">
        <v>297</v>
      </c>
      <c r="O95" s="62">
        <v>1.51</v>
      </c>
      <c r="P95" s="66">
        <f t="shared" si="11"/>
        <v>2.0618556701030926</v>
      </c>
      <c r="Q95" s="66">
        <f t="shared" si="12"/>
        <v>2.0618556701030926</v>
      </c>
      <c r="S95">
        <v>301</v>
      </c>
      <c r="T95">
        <v>303.8</v>
      </c>
      <c r="U95" s="17">
        <v>4.0337470599999996</v>
      </c>
      <c r="V95" s="66">
        <f t="shared" si="13"/>
        <v>3.4364261168384882</v>
      </c>
      <c r="W95" s="66">
        <f t="shared" si="14"/>
        <v>4.3986254295532685</v>
      </c>
      <c r="Z95" s="4">
        <f t="shared" si="15"/>
        <v>0</v>
      </c>
      <c r="AA95" s="4">
        <f t="shared" si="16"/>
        <v>1</v>
      </c>
      <c r="AB95" s="4">
        <f t="shared" si="17"/>
        <v>0</v>
      </c>
      <c r="AC95" s="63"/>
      <c r="AD95" s="63"/>
      <c r="AF95" s="63">
        <f>IF($M95&lt;$S95,1,0)</f>
        <v>1</v>
      </c>
      <c r="AG95" s="63">
        <f>IF($M95=$S95,1,0)</f>
        <v>0</v>
      </c>
      <c r="AH95" s="63">
        <f>IF($M95&gt;$S95,1,0)</f>
        <v>0</v>
      </c>
    </row>
    <row r="96" spans="1:34" x14ac:dyDescent="0.6">
      <c r="A96" s="6" t="s">
        <v>499</v>
      </c>
      <c r="B96" s="24">
        <v>15</v>
      </c>
      <c r="C96" s="12" t="s">
        <v>970</v>
      </c>
      <c r="D96" s="13" t="s">
        <v>976</v>
      </c>
      <c r="E96" s="13" t="s">
        <v>982</v>
      </c>
      <c r="F96" s="10">
        <v>5</v>
      </c>
      <c r="G96" s="43" t="str">
        <f t="shared" si="9"/>
        <v>15_10-20_5-10_40-60</v>
      </c>
      <c r="H96">
        <v>284</v>
      </c>
      <c r="I96">
        <v>284</v>
      </c>
      <c r="J96" s="22">
        <v>1194.5899999999999</v>
      </c>
      <c r="K96" s="66">
        <f t="shared" si="10"/>
        <v>0</v>
      </c>
      <c r="L96" s="10"/>
      <c r="M96" s="1">
        <v>284</v>
      </c>
      <c r="N96" s="1">
        <v>284</v>
      </c>
      <c r="O96" s="62">
        <v>1.51</v>
      </c>
      <c r="P96" s="66">
        <f t="shared" si="11"/>
        <v>0</v>
      </c>
      <c r="Q96" s="66">
        <f t="shared" si="12"/>
        <v>0</v>
      </c>
      <c r="S96">
        <v>284</v>
      </c>
      <c r="T96">
        <v>285.8</v>
      </c>
      <c r="U96" s="17">
        <v>4.3034315999999997</v>
      </c>
      <c r="V96" s="66">
        <f t="shared" si="13"/>
        <v>0</v>
      </c>
      <c r="W96" s="66">
        <f t="shared" si="14"/>
        <v>0.63380281690141249</v>
      </c>
      <c r="Z96" s="4">
        <f t="shared" si="15"/>
        <v>0</v>
      </c>
      <c r="AA96" s="4">
        <f t="shared" si="16"/>
        <v>1</v>
      </c>
      <c r="AB96" s="4">
        <f t="shared" si="17"/>
        <v>0</v>
      </c>
      <c r="AC96" s="63"/>
      <c r="AD96" s="63"/>
      <c r="AF96" s="63">
        <f>IF($M96&lt;$S96,1,0)</f>
        <v>0</v>
      </c>
      <c r="AG96" s="63">
        <f>IF($M96=$S96,1,0)</f>
        <v>1</v>
      </c>
      <c r="AH96" s="63">
        <f>IF($M96&gt;$S96,1,0)</f>
        <v>0</v>
      </c>
    </row>
    <row r="97" spans="1:34" x14ac:dyDescent="0.6">
      <c r="A97" s="6" t="s">
        <v>500</v>
      </c>
      <c r="B97" s="24">
        <v>15</v>
      </c>
      <c r="C97" s="12" t="s">
        <v>970</v>
      </c>
      <c r="D97" s="13" t="s">
        <v>976</v>
      </c>
      <c r="E97" s="13" t="s">
        <v>982</v>
      </c>
      <c r="F97" s="10">
        <v>6</v>
      </c>
      <c r="G97" s="43" t="str">
        <f t="shared" si="9"/>
        <v>15_10-20_5-10_40-60</v>
      </c>
      <c r="H97">
        <v>309</v>
      </c>
      <c r="I97">
        <v>313</v>
      </c>
      <c r="J97" s="22">
        <v>3600.02</v>
      </c>
      <c r="K97" s="66">
        <f t="shared" si="10"/>
        <v>1.2944983818770228</v>
      </c>
      <c r="L97" s="10"/>
      <c r="M97" s="1">
        <v>313</v>
      </c>
      <c r="N97" s="1">
        <v>313</v>
      </c>
      <c r="O97" s="62">
        <v>1.51</v>
      </c>
      <c r="P97" s="66">
        <f t="shared" si="11"/>
        <v>1.2944983818770228</v>
      </c>
      <c r="Q97" s="66">
        <f t="shared" si="12"/>
        <v>1.2944983818770228</v>
      </c>
      <c r="S97">
        <v>314</v>
      </c>
      <c r="T97">
        <v>314.2</v>
      </c>
      <c r="U97" s="17">
        <v>4.1807563400000003</v>
      </c>
      <c r="V97" s="66">
        <f t="shared" si="13"/>
        <v>1.6181229773462782</v>
      </c>
      <c r="W97" s="66">
        <f t="shared" si="14"/>
        <v>1.6828478964401257</v>
      </c>
      <c r="Z97" s="4">
        <f t="shared" si="15"/>
        <v>0</v>
      </c>
      <c r="AA97" s="4">
        <f t="shared" si="16"/>
        <v>1</v>
      </c>
      <c r="AB97" s="4">
        <f t="shared" si="17"/>
        <v>0</v>
      </c>
      <c r="AC97" s="63"/>
      <c r="AD97" s="63"/>
      <c r="AF97" s="63">
        <f>IF($M97&lt;$S97,1,0)</f>
        <v>1</v>
      </c>
      <c r="AG97" s="63">
        <f>IF($M97=$S97,1,0)</f>
        <v>0</v>
      </c>
      <c r="AH97" s="63">
        <f>IF($M97&gt;$S97,1,0)</f>
        <v>0</v>
      </c>
    </row>
    <row r="98" spans="1:34" x14ac:dyDescent="0.6">
      <c r="A98" s="6" t="s">
        <v>501</v>
      </c>
      <c r="B98" s="24">
        <v>15</v>
      </c>
      <c r="C98" s="12" t="s">
        <v>970</v>
      </c>
      <c r="D98" s="13" t="s">
        <v>976</v>
      </c>
      <c r="E98" s="13" t="s">
        <v>982</v>
      </c>
      <c r="F98" s="10">
        <v>7</v>
      </c>
      <c r="G98" s="43" t="str">
        <f t="shared" si="9"/>
        <v>15_10-20_5-10_40-60</v>
      </c>
      <c r="H98">
        <v>297</v>
      </c>
      <c r="I98">
        <v>298</v>
      </c>
      <c r="J98" s="22">
        <v>3600.02</v>
      </c>
      <c r="K98" s="66">
        <f t="shared" si="10"/>
        <v>0.33670033670033667</v>
      </c>
      <c r="L98" s="10"/>
      <c r="M98" s="1">
        <v>298</v>
      </c>
      <c r="N98" s="1">
        <v>298</v>
      </c>
      <c r="O98" s="62">
        <v>1.51</v>
      </c>
      <c r="P98" s="66">
        <f t="shared" si="11"/>
        <v>0.33670033670033667</v>
      </c>
      <c r="Q98" s="66">
        <f t="shared" si="12"/>
        <v>0.33670033670033667</v>
      </c>
      <c r="S98">
        <v>298</v>
      </c>
      <c r="T98">
        <v>301</v>
      </c>
      <c r="U98" s="17">
        <v>4.0459864799999998</v>
      </c>
      <c r="V98" s="66">
        <f t="shared" si="13"/>
        <v>0.33670033670033667</v>
      </c>
      <c r="W98" s="66">
        <f t="shared" si="14"/>
        <v>1.3468013468013467</v>
      </c>
      <c r="Z98" s="4">
        <f t="shared" si="15"/>
        <v>0</v>
      </c>
      <c r="AA98" s="4">
        <f t="shared" si="16"/>
        <v>1</v>
      </c>
      <c r="AB98" s="4">
        <f t="shared" si="17"/>
        <v>0</v>
      </c>
      <c r="AC98" s="63"/>
      <c r="AD98" s="63"/>
      <c r="AF98" s="63">
        <f>IF($M98&lt;$S98,1,0)</f>
        <v>0</v>
      </c>
      <c r="AG98" s="63">
        <f>IF($M98=$S98,1,0)</f>
        <v>1</v>
      </c>
      <c r="AH98" s="63">
        <f>IF($M98&gt;$S98,1,0)</f>
        <v>0</v>
      </c>
    </row>
    <row r="99" spans="1:34" x14ac:dyDescent="0.6">
      <c r="A99" s="6" t="s">
        <v>502</v>
      </c>
      <c r="B99" s="24">
        <v>15</v>
      </c>
      <c r="C99" s="12" t="s">
        <v>970</v>
      </c>
      <c r="D99" s="13" t="s">
        <v>976</v>
      </c>
      <c r="E99" s="13" t="s">
        <v>982</v>
      </c>
      <c r="F99" s="10">
        <v>8</v>
      </c>
      <c r="G99" s="43" t="str">
        <f t="shared" si="9"/>
        <v>15_10-20_5-10_40-60</v>
      </c>
      <c r="H99">
        <v>288</v>
      </c>
      <c r="I99">
        <v>295</v>
      </c>
      <c r="J99" s="22">
        <v>3600.01</v>
      </c>
      <c r="K99" s="66">
        <f t="shared" si="10"/>
        <v>2.4305555555555558</v>
      </c>
      <c r="L99" s="10"/>
      <c r="M99" s="1">
        <v>295</v>
      </c>
      <c r="N99" s="1">
        <v>295</v>
      </c>
      <c r="O99" s="62">
        <v>1.51</v>
      </c>
      <c r="P99" s="66">
        <f t="shared" si="11"/>
        <v>2.4305555555555558</v>
      </c>
      <c r="Q99" s="66">
        <f t="shared" si="12"/>
        <v>2.4305555555555558</v>
      </c>
      <c r="S99">
        <v>298</v>
      </c>
      <c r="T99">
        <v>299.39999999999998</v>
      </c>
      <c r="U99" s="17">
        <v>4.2207463199999999</v>
      </c>
      <c r="V99" s="66">
        <f t="shared" si="13"/>
        <v>3.4722222222222223</v>
      </c>
      <c r="W99" s="66">
        <f t="shared" si="14"/>
        <v>3.9583333333333255</v>
      </c>
      <c r="Z99" s="4">
        <f t="shared" si="15"/>
        <v>0</v>
      </c>
      <c r="AA99" s="4">
        <f t="shared" si="16"/>
        <v>1</v>
      </c>
      <c r="AB99" s="4">
        <f t="shared" si="17"/>
        <v>0</v>
      </c>
      <c r="AC99" s="63"/>
      <c r="AD99" s="63"/>
      <c r="AF99" s="63">
        <f>IF($M99&lt;$S99,1,0)</f>
        <v>1</v>
      </c>
      <c r="AG99" s="63">
        <f>IF($M99=$S99,1,0)</f>
        <v>0</v>
      </c>
      <c r="AH99" s="63">
        <f>IF($M99&gt;$S99,1,0)</f>
        <v>0</v>
      </c>
    </row>
    <row r="100" spans="1:34" x14ac:dyDescent="0.6">
      <c r="A100" s="6" t="s">
        <v>503</v>
      </c>
      <c r="B100" s="24">
        <v>15</v>
      </c>
      <c r="C100" s="12" t="s">
        <v>970</v>
      </c>
      <c r="D100" s="13" t="s">
        <v>976</v>
      </c>
      <c r="E100" s="13" t="s">
        <v>982</v>
      </c>
      <c r="F100" s="10">
        <v>9</v>
      </c>
      <c r="G100" s="43" t="str">
        <f t="shared" si="9"/>
        <v>15_10-20_5-10_40-60</v>
      </c>
      <c r="H100">
        <v>287</v>
      </c>
      <c r="I100">
        <v>290</v>
      </c>
      <c r="J100" s="22">
        <v>3600.03</v>
      </c>
      <c r="K100" s="66">
        <f t="shared" si="10"/>
        <v>1.0452961672473868</v>
      </c>
      <c r="L100" s="10"/>
      <c r="M100" s="1">
        <v>290</v>
      </c>
      <c r="N100" s="1">
        <v>290</v>
      </c>
      <c r="O100" s="62">
        <v>1.5</v>
      </c>
      <c r="P100" s="66">
        <f t="shared" si="11"/>
        <v>1.0452961672473868</v>
      </c>
      <c r="Q100" s="66">
        <f t="shared" si="12"/>
        <v>1.0452961672473868</v>
      </c>
      <c r="S100">
        <v>290</v>
      </c>
      <c r="T100">
        <v>292.39999999999998</v>
      </c>
      <c r="U100" s="17">
        <v>3.9857222600000002</v>
      </c>
      <c r="V100" s="66">
        <f t="shared" si="13"/>
        <v>1.0452961672473868</v>
      </c>
      <c r="W100" s="66">
        <f t="shared" si="14"/>
        <v>1.8815331010452883</v>
      </c>
      <c r="Z100" s="4">
        <f t="shared" si="15"/>
        <v>0</v>
      </c>
      <c r="AA100" s="4">
        <f t="shared" si="16"/>
        <v>1</v>
      </c>
      <c r="AB100" s="4">
        <f t="shared" si="17"/>
        <v>0</v>
      </c>
      <c r="AC100" s="63"/>
      <c r="AD100" s="63"/>
      <c r="AF100" s="63">
        <f>IF($M100&lt;$S100,1,0)</f>
        <v>0</v>
      </c>
      <c r="AG100" s="63">
        <f>IF($M100=$S100,1,0)</f>
        <v>1</v>
      </c>
      <c r="AH100" s="63">
        <f>IF($M100&gt;$S100,1,0)</f>
        <v>0</v>
      </c>
    </row>
    <row r="101" spans="1:34" x14ac:dyDescent="0.6">
      <c r="A101" s="6" t="s">
        <v>504</v>
      </c>
      <c r="B101" s="24">
        <v>15</v>
      </c>
      <c r="C101" s="12" t="s">
        <v>970</v>
      </c>
      <c r="D101" s="13" t="s">
        <v>976</v>
      </c>
      <c r="E101" s="13" t="s">
        <v>982</v>
      </c>
      <c r="F101" s="10">
        <v>10</v>
      </c>
      <c r="G101" s="43" t="str">
        <f t="shared" si="9"/>
        <v>15_10-20_5-10_40-60</v>
      </c>
      <c r="H101">
        <v>304</v>
      </c>
      <c r="I101">
        <v>306</v>
      </c>
      <c r="J101" s="22">
        <v>3600.01</v>
      </c>
      <c r="K101" s="66">
        <f t="shared" si="10"/>
        <v>0.6578947368421052</v>
      </c>
      <c r="L101" s="10"/>
      <c r="M101" s="1">
        <v>306</v>
      </c>
      <c r="N101" s="1">
        <v>306</v>
      </c>
      <c r="O101" s="62">
        <v>1.51</v>
      </c>
      <c r="P101" s="66">
        <f t="shared" si="11"/>
        <v>0.6578947368421052</v>
      </c>
      <c r="Q101" s="66">
        <f t="shared" si="12"/>
        <v>0.6578947368421052</v>
      </c>
      <c r="S101">
        <v>309</v>
      </c>
      <c r="T101">
        <v>310.39999999999998</v>
      </c>
      <c r="U101" s="17">
        <v>3.8926572199999998</v>
      </c>
      <c r="V101" s="66">
        <f t="shared" si="13"/>
        <v>1.6447368421052631</v>
      </c>
      <c r="W101" s="66">
        <f t="shared" si="14"/>
        <v>2.1052631578947296</v>
      </c>
      <c r="Z101" s="4">
        <f t="shared" si="15"/>
        <v>0</v>
      </c>
      <c r="AA101" s="4">
        <f t="shared" si="16"/>
        <v>1</v>
      </c>
      <c r="AB101" s="4">
        <f t="shared" si="17"/>
        <v>0</v>
      </c>
      <c r="AC101" s="63"/>
      <c r="AD101" s="63"/>
      <c r="AF101" s="63">
        <f>IF($M101&lt;$S101,1,0)</f>
        <v>1</v>
      </c>
      <c r="AG101" s="63">
        <f>IF($M101=$S101,1,0)</f>
        <v>0</v>
      </c>
      <c r="AH101" s="63">
        <f>IF($M101&gt;$S101,1,0)</f>
        <v>0</v>
      </c>
    </row>
    <row r="102" spans="1:34" x14ac:dyDescent="0.6">
      <c r="A102" s="6" t="s">
        <v>505</v>
      </c>
      <c r="B102" s="24">
        <v>15</v>
      </c>
      <c r="C102" s="12" t="s">
        <v>970</v>
      </c>
      <c r="D102" s="13" t="s">
        <v>979</v>
      </c>
      <c r="E102" s="13" t="s">
        <v>981</v>
      </c>
      <c r="F102" s="10">
        <v>1</v>
      </c>
      <c r="G102" s="43" t="str">
        <f t="shared" si="9"/>
        <v>15_10-20_10-15_20-40</v>
      </c>
      <c r="H102">
        <v>353</v>
      </c>
      <c r="I102">
        <v>355</v>
      </c>
      <c r="J102" s="22">
        <v>3600.02</v>
      </c>
      <c r="K102" s="66">
        <f t="shared" si="10"/>
        <v>0.56657223796033995</v>
      </c>
      <c r="L102" s="10"/>
      <c r="M102" s="1">
        <v>355</v>
      </c>
      <c r="N102" s="1">
        <v>355</v>
      </c>
      <c r="O102" s="62">
        <v>1.51</v>
      </c>
      <c r="P102" s="66">
        <f t="shared" si="11"/>
        <v>0.56657223796033995</v>
      </c>
      <c r="Q102" s="66">
        <f t="shared" si="12"/>
        <v>0.56657223796033995</v>
      </c>
      <c r="S102">
        <v>355</v>
      </c>
      <c r="T102">
        <v>357.2</v>
      </c>
      <c r="U102" s="17">
        <v>3.7748326799999998</v>
      </c>
      <c r="V102" s="66">
        <f t="shared" si="13"/>
        <v>0.56657223796033995</v>
      </c>
      <c r="W102" s="66">
        <f t="shared" si="14"/>
        <v>1.1898016997167107</v>
      </c>
      <c r="Z102" s="4">
        <f t="shared" si="15"/>
        <v>0</v>
      </c>
      <c r="AA102" s="4">
        <f t="shared" si="16"/>
        <v>1</v>
      </c>
      <c r="AB102" s="4">
        <f t="shared" si="17"/>
        <v>0</v>
      </c>
      <c r="AC102" s="63"/>
      <c r="AD102" s="63"/>
      <c r="AF102" s="63">
        <f>IF($M102&lt;$S102,1,0)</f>
        <v>0</v>
      </c>
      <c r="AG102" s="63">
        <f>IF($M102=$S102,1,0)</f>
        <v>1</v>
      </c>
      <c r="AH102" s="63">
        <f>IF($M102&gt;$S102,1,0)</f>
        <v>0</v>
      </c>
    </row>
    <row r="103" spans="1:34" x14ac:dyDescent="0.6">
      <c r="A103" s="6" t="s">
        <v>506</v>
      </c>
      <c r="B103" s="24">
        <v>15</v>
      </c>
      <c r="C103" s="12" t="s">
        <v>970</v>
      </c>
      <c r="D103" s="13" t="s">
        <v>979</v>
      </c>
      <c r="E103" s="13" t="s">
        <v>981</v>
      </c>
      <c r="F103" s="10">
        <v>2</v>
      </c>
      <c r="G103" s="43" t="str">
        <f t="shared" si="9"/>
        <v>15_10-20_10-15_20-40</v>
      </c>
      <c r="H103">
        <v>345</v>
      </c>
      <c r="I103">
        <v>348</v>
      </c>
      <c r="J103" s="22">
        <v>3600.02</v>
      </c>
      <c r="K103" s="66">
        <f t="shared" si="10"/>
        <v>0.86956521739130432</v>
      </c>
      <c r="L103" s="10"/>
      <c r="M103" s="1">
        <v>348</v>
      </c>
      <c r="N103" s="1">
        <v>348</v>
      </c>
      <c r="O103" s="62">
        <v>1.51</v>
      </c>
      <c r="P103" s="66">
        <f t="shared" si="11"/>
        <v>0.86956521739130432</v>
      </c>
      <c r="Q103" s="66">
        <f t="shared" si="12"/>
        <v>0.86956521739130432</v>
      </c>
      <c r="S103">
        <v>350</v>
      </c>
      <c r="T103">
        <v>351.4</v>
      </c>
      <c r="U103" s="17">
        <v>4.0502802999999998</v>
      </c>
      <c r="V103" s="66">
        <f t="shared" si="13"/>
        <v>1.4492753623188406</v>
      </c>
      <c r="W103" s="66">
        <f t="shared" si="14"/>
        <v>1.8550724637681093</v>
      </c>
      <c r="Z103" s="4">
        <f t="shared" si="15"/>
        <v>0</v>
      </c>
      <c r="AA103" s="4">
        <f t="shared" si="16"/>
        <v>1</v>
      </c>
      <c r="AB103" s="4">
        <f t="shared" si="17"/>
        <v>0</v>
      </c>
      <c r="AC103" s="63"/>
      <c r="AD103" s="63"/>
      <c r="AF103" s="63">
        <f>IF($M103&lt;$S103,1,0)</f>
        <v>1</v>
      </c>
      <c r="AG103" s="63">
        <f>IF($M103=$S103,1,0)</f>
        <v>0</v>
      </c>
      <c r="AH103" s="63">
        <f>IF($M103&gt;$S103,1,0)</f>
        <v>0</v>
      </c>
    </row>
    <row r="104" spans="1:34" x14ac:dyDescent="0.6">
      <c r="A104" s="6" t="s">
        <v>507</v>
      </c>
      <c r="B104" s="24">
        <v>15</v>
      </c>
      <c r="C104" s="12" t="s">
        <v>970</v>
      </c>
      <c r="D104" s="13" t="s">
        <v>978</v>
      </c>
      <c r="E104" s="13" t="s">
        <v>980</v>
      </c>
      <c r="F104" s="10">
        <v>3</v>
      </c>
      <c r="G104" s="43" t="str">
        <f t="shared" si="9"/>
        <v>15_10-20_10-15_20-40</v>
      </c>
      <c r="H104">
        <v>351</v>
      </c>
      <c r="I104">
        <v>353</v>
      </c>
      <c r="J104" s="22">
        <v>3600.02</v>
      </c>
      <c r="K104" s="66">
        <f t="shared" si="10"/>
        <v>0.56980056980056981</v>
      </c>
      <c r="L104" s="10"/>
      <c r="M104" s="1">
        <v>353</v>
      </c>
      <c r="N104" s="1">
        <v>353</v>
      </c>
      <c r="O104" s="62">
        <v>1.51</v>
      </c>
      <c r="P104" s="66">
        <f t="shared" si="11"/>
        <v>0.56980056980056981</v>
      </c>
      <c r="Q104" s="66">
        <f t="shared" si="12"/>
        <v>0.56980056980056981</v>
      </c>
      <c r="S104">
        <v>355</v>
      </c>
      <c r="T104">
        <v>356</v>
      </c>
      <c r="U104" s="17">
        <v>3.9294484199999999</v>
      </c>
      <c r="V104" s="66">
        <f t="shared" si="13"/>
        <v>1.1396011396011396</v>
      </c>
      <c r="W104" s="66">
        <f t="shared" si="14"/>
        <v>1.4245014245014245</v>
      </c>
      <c r="Z104" s="4">
        <f t="shared" si="15"/>
        <v>0</v>
      </c>
      <c r="AA104" s="4">
        <f t="shared" si="16"/>
        <v>1</v>
      </c>
      <c r="AB104" s="4">
        <f t="shared" si="17"/>
        <v>0</v>
      </c>
      <c r="AC104" s="63"/>
      <c r="AD104" s="63"/>
      <c r="AF104" s="63">
        <f>IF($M104&lt;$S104,1,0)</f>
        <v>1</v>
      </c>
      <c r="AG104" s="63">
        <f>IF($M104=$S104,1,0)</f>
        <v>0</v>
      </c>
      <c r="AH104" s="63">
        <f>IF($M104&gt;$S104,1,0)</f>
        <v>0</v>
      </c>
    </row>
    <row r="105" spans="1:34" x14ac:dyDescent="0.6">
      <c r="A105" s="6" t="s">
        <v>508</v>
      </c>
      <c r="B105" s="24">
        <v>15</v>
      </c>
      <c r="C105" s="12" t="s">
        <v>970</v>
      </c>
      <c r="D105" s="13" t="s">
        <v>978</v>
      </c>
      <c r="E105" s="13" t="s">
        <v>980</v>
      </c>
      <c r="F105" s="10">
        <v>4</v>
      </c>
      <c r="G105" s="43" t="str">
        <f t="shared" si="9"/>
        <v>15_10-20_10-15_20-40</v>
      </c>
      <c r="H105">
        <v>361</v>
      </c>
      <c r="I105">
        <v>366</v>
      </c>
      <c r="J105" s="22">
        <v>3600.01</v>
      </c>
      <c r="K105" s="66">
        <f t="shared" si="10"/>
        <v>1.3850415512465373</v>
      </c>
      <c r="L105" s="10"/>
      <c r="M105" s="1">
        <v>366</v>
      </c>
      <c r="N105" s="1">
        <v>366</v>
      </c>
      <c r="O105" s="62">
        <v>1.51</v>
      </c>
      <c r="P105" s="66">
        <f t="shared" si="11"/>
        <v>1.3850415512465373</v>
      </c>
      <c r="Q105" s="66">
        <f t="shared" si="12"/>
        <v>1.3850415512465373</v>
      </c>
      <c r="S105">
        <v>368</v>
      </c>
      <c r="T105">
        <v>369.6</v>
      </c>
      <c r="U105" s="17">
        <v>4.0415886800000003</v>
      </c>
      <c r="V105" s="66">
        <f t="shared" si="13"/>
        <v>1.9390581717451523</v>
      </c>
      <c r="W105" s="66">
        <f t="shared" si="14"/>
        <v>2.3822714681440504</v>
      </c>
      <c r="Z105" s="4">
        <f t="shared" si="15"/>
        <v>0</v>
      </c>
      <c r="AA105" s="4">
        <f t="shared" si="16"/>
        <v>1</v>
      </c>
      <c r="AB105" s="4">
        <f t="shared" si="17"/>
        <v>0</v>
      </c>
      <c r="AC105" s="63"/>
      <c r="AD105" s="63"/>
      <c r="AF105" s="63">
        <f>IF($M105&lt;$S105,1,0)</f>
        <v>1</v>
      </c>
      <c r="AG105" s="63">
        <f>IF($M105=$S105,1,0)</f>
        <v>0</v>
      </c>
      <c r="AH105" s="63">
        <f>IF($M105&gt;$S105,1,0)</f>
        <v>0</v>
      </c>
    </row>
    <row r="106" spans="1:34" x14ac:dyDescent="0.6">
      <c r="A106" s="6" t="s">
        <v>509</v>
      </c>
      <c r="B106" s="24">
        <v>15</v>
      </c>
      <c r="C106" s="12" t="s">
        <v>970</v>
      </c>
      <c r="D106" s="13" t="s">
        <v>978</v>
      </c>
      <c r="E106" s="13" t="s">
        <v>980</v>
      </c>
      <c r="F106" s="10">
        <v>5</v>
      </c>
      <c r="G106" s="43" t="str">
        <f t="shared" si="9"/>
        <v>15_10-20_10-15_20-40</v>
      </c>
      <c r="H106">
        <v>348</v>
      </c>
      <c r="I106">
        <v>351</v>
      </c>
      <c r="J106" s="22">
        <v>3600.02</v>
      </c>
      <c r="K106" s="66">
        <f t="shared" si="10"/>
        <v>0.86206896551724133</v>
      </c>
      <c r="L106" s="10"/>
      <c r="M106" s="1">
        <v>351</v>
      </c>
      <c r="N106" s="1">
        <v>351</v>
      </c>
      <c r="O106" s="62">
        <v>1.51</v>
      </c>
      <c r="P106" s="66">
        <f t="shared" si="11"/>
        <v>0.86206896551724133</v>
      </c>
      <c r="Q106" s="66">
        <f t="shared" si="12"/>
        <v>0.86206896551724133</v>
      </c>
      <c r="S106">
        <v>352</v>
      </c>
      <c r="T106">
        <v>353.6</v>
      </c>
      <c r="U106" s="17">
        <v>4.3302417599999998</v>
      </c>
      <c r="V106" s="66">
        <f t="shared" si="13"/>
        <v>1.1494252873563218</v>
      </c>
      <c r="W106" s="66">
        <f t="shared" si="14"/>
        <v>1.609195402298857</v>
      </c>
      <c r="Z106" s="4">
        <f t="shared" si="15"/>
        <v>0</v>
      </c>
      <c r="AA106" s="4">
        <f t="shared" si="16"/>
        <v>1</v>
      </c>
      <c r="AB106" s="4">
        <f t="shared" si="17"/>
        <v>0</v>
      </c>
      <c r="AC106" s="63"/>
      <c r="AD106" s="63"/>
      <c r="AF106" s="63">
        <f>IF($M106&lt;$S106,1,0)</f>
        <v>1</v>
      </c>
      <c r="AG106" s="63">
        <f>IF($M106=$S106,1,0)</f>
        <v>0</v>
      </c>
      <c r="AH106" s="63">
        <f>IF($M106&gt;$S106,1,0)</f>
        <v>0</v>
      </c>
    </row>
    <row r="107" spans="1:34" x14ac:dyDescent="0.6">
      <c r="A107" s="6" t="s">
        <v>510</v>
      </c>
      <c r="B107" s="24">
        <v>15</v>
      </c>
      <c r="C107" s="12" t="s">
        <v>970</v>
      </c>
      <c r="D107" s="13" t="s">
        <v>978</v>
      </c>
      <c r="E107" s="13" t="s">
        <v>980</v>
      </c>
      <c r="F107" s="10">
        <v>6</v>
      </c>
      <c r="G107" s="43" t="str">
        <f t="shared" si="9"/>
        <v>15_10-20_10-15_20-40</v>
      </c>
      <c r="H107">
        <v>379</v>
      </c>
      <c r="I107">
        <v>381</v>
      </c>
      <c r="J107" s="22">
        <v>3600.02</v>
      </c>
      <c r="K107" s="66">
        <f t="shared" si="10"/>
        <v>0.52770448548812665</v>
      </c>
      <c r="L107" s="10"/>
      <c r="M107" s="1">
        <v>380</v>
      </c>
      <c r="N107" s="1">
        <v>380</v>
      </c>
      <c r="O107" s="62">
        <v>1.51</v>
      </c>
      <c r="P107" s="66">
        <f t="shared" si="11"/>
        <v>0.26385224274406333</v>
      </c>
      <c r="Q107" s="66">
        <f t="shared" si="12"/>
        <v>0.26385224274406333</v>
      </c>
      <c r="S107">
        <v>380</v>
      </c>
      <c r="T107">
        <v>383</v>
      </c>
      <c r="U107" s="17">
        <v>4.18575768</v>
      </c>
      <c r="V107" s="66">
        <f t="shared" si="13"/>
        <v>0.26385224274406333</v>
      </c>
      <c r="W107" s="66">
        <f t="shared" si="14"/>
        <v>1.0554089709762533</v>
      </c>
      <c r="Z107" s="4">
        <f t="shared" si="15"/>
        <v>1</v>
      </c>
      <c r="AA107" s="4">
        <f t="shared" si="16"/>
        <v>0</v>
      </c>
      <c r="AB107" s="4">
        <f t="shared" si="17"/>
        <v>0</v>
      </c>
      <c r="AC107" s="63"/>
      <c r="AD107" s="63"/>
      <c r="AF107" s="63">
        <f>IF($M107&lt;$S107,1,0)</f>
        <v>0</v>
      </c>
      <c r="AG107" s="63">
        <f>IF($M107=$S107,1,0)</f>
        <v>1</v>
      </c>
      <c r="AH107" s="63">
        <f>IF($M107&gt;$S107,1,0)</f>
        <v>0</v>
      </c>
    </row>
    <row r="108" spans="1:34" x14ac:dyDescent="0.6">
      <c r="A108" s="6" t="s">
        <v>511</v>
      </c>
      <c r="B108" s="24">
        <v>15</v>
      </c>
      <c r="C108" s="12" t="s">
        <v>970</v>
      </c>
      <c r="D108" s="13" t="s">
        <v>978</v>
      </c>
      <c r="E108" s="13" t="s">
        <v>980</v>
      </c>
      <c r="F108" s="10">
        <v>7</v>
      </c>
      <c r="G108" s="43" t="str">
        <f t="shared" si="9"/>
        <v>15_10-20_10-15_20-40</v>
      </c>
      <c r="H108">
        <v>367</v>
      </c>
      <c r="I108">
        <v>368</v>
      </c>
      <c r="J108" s="22">
        <v>3600.03</v>
      </c>
      <c r="K108" s="66">
        <f t="shared" si="10"/>
        <v>0.27247956403269752</v>
      </c>
      <c r="L108" s="10"/>
      <c r="M108" s="1">
        <v>368</v>
      </c>
      <c r="N108" s="1">
        <v>368</v>
      </c>
      <c r="O108" s="62">
        <v>1.51</v>
      </c>
      <c r="P108" s="66">
        <f t="shared" si="11"/>
        <v>0.27247956403269752</v>
      </c>
      <c r="Q108" s="66">
        <f t="shared" si="12"/>
        <v>0.27247956403269752</v>
      </c>
      <c r="S108">
        <v>370</v>
      </c>
      <c r="T108">
        <v>371.8</v>
      </c>
      <c r="U108" s="17">
        <v>4.2440705799999998</v>
      </c>
      <c r="V108" s="66">
        <f t="shared" si="13"/>
        <v>0.81743869209809261</v>
      </c>
      <c r="W108" s="66">
        <f t="shared" si="14"/>
        <v>1.3079019073569513</v>
      </c>
      <c r="Z108" s="4">
        <f t="shared" si="15"/>
        <v>0</v>
      </c>
      <c r="AA108" s="4">
        <f t="shared" si="16"/>
        <v>1</v>
      </c>
      <c r="AB108" s="4">
        <f t="shared" si="17"/>
        <v>0</v>
      </c>
      <c r="AC108" s="63"/>
      <c r="AD108" s="63"/>
      <c r="AF108" s="63">
        <f>IF($M108&lt;$S108,1,0)</f>
        <v>1</v>
      </c>
      <c r="AG108" s="63">
        <f>IF($M108=$S108,1,0)</f>
        <v>0</v>
      </c>
      <c r="AH108" s="63">
        <f>IF($M108&gt;$S108,1,0)</f>
        <v>0</v>
      </c>
    </row>
    <row r="109" spans="1:34" x14ac:dyDescent="0.6">
      <c r="A109" s="6" t="s">
        <v>512</v>
      </c>
      <c r="B109" s="24">
        <v>15</v>
      </c>
      <c r="C109" s="12" t="s">
        <v>970</v>
      </c>
      <c r="D109" s="13" t="s">
        <v>978</v>
      </c>
      <c r="E109" s="13" t="s">
        <v>980</v>
      </c>
      <c r="F109" s="10">
        <v>8</v>
      </c>
      <c r="G109" s="43" t="str">
        <f t="shared" si="9"/>
        <v>15_10-20_10-15_20-40</v>
      </c>
      <c r="H109">
        <v>358</v>
      </c>
      <c r="I109">
        <v>363</v>
      </c>
      <c r="J109" s="22">
        <v>3600.01</v>
      </c>
      <c r="K109" s="66">
        <f t="shared" si="10"/>
        <v>1.3966480446927374</v>
      </c>
      <c r="L109" s="10"/>
      <c r="M109" s="1">
        <v>363</v>
      </c>
      <c r="N109" s="1">
        <v>363</v>
      </c>
      <c r="O109" s="62">
        <v>1.51</v>
      </c>
      <c r="P109" s="66">
        <f t="shared" si="11"/>
        <v>1.3966480446927374</v>
      </c>
      <c r="Q109" s="66">
        <f t="shared" si="12"/>
        <v>1.3966480446927374</v>
      </c>
      <c r="S109">
        <v>364</v>
      </c>
      <c r="T109">
        <v>365.8</v>
      </c>
      <c r="U109" s="17">
        <v>4.3614389400000002</v>
      </c>
      <c r="V109" s="66">
        <f t="shared" si="13"/>
        <v>1.6759776536312849</v>
      </c>
      <c r="W109" s="66">
        <f t="shared" si="14"/>
        <v>2.1787709497206738</v>
      </c>
      <c r="Z109" s="4">
        <f t="shared" si="15"/>
        <v>0</v>
      </c>
      <c r="AA109" s="4">
        <f t="shared" si="16"/>
        <v>1</v>
      </c>
      <c r="AB109" s="4">
        <f t="shared" si="17"/>
        <v>0</v>
      </c>
      <c r="AC109" s="63"/>
      <c r="AD109" s="63"/>
      <c r="AF109" s="63">
        <f>IF($M109&lt;$S109,1,0)</f>
        <v>1</v>
      </c>
      <c r="AG109" s="63">
        <f>IF($M109=$S109,1,0)</f>
        <v>0</v>
      </c>
      <c r="AH109" s="63">
        <f>IF($M109&gt;$S109,1,0)</f>
        <v>0</v>
      </c>
    </row>
    <row r="110" spans="1:34" x14ac:dyDescent="0.6">
      <c r="A110" s="6" t="s">
        <v>513</v>
      </c>
      <c r="B110" s="24">
        <v>15</v>
      </c>
      <c r="C110" s="12" t="s">
        <v>970</v>
      </c>
      <c r="D110" s="13" t="s">
        <v>978</v>
      </c>
      <c r="E110" s="13" t="s">
        <v>980</v>
      </c>
      <c r="F110" s="10">
        <v>9</v>
      </c>
      <c r="G110" s="43" t="str">
        <f t="shared" si="9"/>
        <v>15_10-20_10-15_20-40</v>
      </c>
      <c r="H110">
        <v>357</v>
      </c>
      <c r="I110">
        <v>360</v>
      </c>
      <c r="J110" s="22">
        <v>3600.03</v>
      </c>
      <c r="K110" s="66">
        <f t="shared" si="10"/>
        <v>0.84033613445378152</v>
      </c>
      <c r="L110" s="10"/>
      <c r="M110" s="1">
        <v>360</v>
      </c>
      <c r="N110" s="1">
        <v>360</v>
      </c>
      <c r="O110" s="62">
        <v>1.51</v>
      </c>
      <c r="P110" s="66">
        <f t="shared" si="11"/>
        <v>0.84033613445378152</v>
      </c>
      <c r="Q110" s="66">
        <f t="shared" si="12"/>
        <v>0.84033613445378152</v>
      </c>
      <c r="S110">
        <v>360</v>
      </c>
      <c r="T110">
        <v>361.6</v>
      </c>
      <c r="U110" s="17">
        <v>3.94801534</v>
      </c>
      <c r="V110" s="66">
        <f t="shared" si="13"/>
        <v>0.84033613445378152</v>
      </c>
      <c r="W110" s="66">
        <f t="shared" si="14"/>
        <v>1.2885154061624713</v>
      </c>
      <c r="Z110" s="4">
        <f t="shared" si="15"/>
        <v>0</v>
      </c>
      <c r="AA110" s="4">
        <f t="shared" si="16"/>
        <v>1</v>
      </c>
      <c r="AB110" s="4">
        <f t="shared" si="17"/>
        <v>0</v>
      </c>
      <c r="AC110" s="63"/>
      <c r="AD110" s="63"/>
      <c r="AF110" s="63">
        <f>IF($M110&lt;$S110,1,0)</f>
        <v>0</v>
      </c>
      <c r="AG110" s="63">
        <f>IF($M110=$S110,1,0)</f>
        <v>1</v>
      </c>
      <c r="AH110" s="63">
        <f>IF($M110&gt;$S110,1,0)</f>
        <v>0</v>
      </c>
    </row>
    <row r="111" spans="1:34" x14ac:dyDescent="0.6">
      <c r="A111" s="6" t="s">
        <v>514</v>
      </c>
      <c r="B111" s="24">
        <v>15</v>
      </c>
      <c r="C111" s="12" t="s">
        <v>970</v>
      </c>
      <c r="D111" s="13" t="s">
        <v>978</v>
      </c>
      <c r="E111" s="13" t="s">
        <v>980</v>
      </c>
      <c r="F111" s="10">
        <v>10</v>
      </c>
      <c r="G111" s="43" t="str">
        <f t="shared" si="9"/>
        <v>15_10-20_10-15_20-40</v>
      </c>
      <c r="H111">
        <v>374</v>
      </c>
      <c r="I111">
        <v>376</v>
      </c>
      <c r="J111" s="22">
        <v>3600.02</v>
      </c>
      <c r="K111" s="66">
        <f t="shared" si="10"/>
        <v>0.53475935828876997</v>
      </c>
      <c r="L111" s="10"/>
      <c r="M111" s="1">
        <v>376</v>
      </c>
      <c r="N111" s="1">
        <v>376</v>
      </c>
      <c r="O111" s="62">
        <v>1.51</v>
      </c>
      <c r="P111" s="66">
        <f t="shared" si="11"/>
        <v>0.53475935828876997</v>
      </c>
      <c r="Q111" s="66">
        <f t="shared" si="12"/>
        <v>0.53475935828876997</v>
      </c>
      <c r="S111">
        <v>380</v>
      </c>
      <c r="T111">
        <v>380.6</v>
      </c>
      <c r="U111" s="17">
        <v>3.8949386600000002</v>
      </c>
      <c r="V111" s="66">
        <f t="shared" si="13"/>
        <v>1.6042780748663104</v>
      </c>
      <c r="W111" s="66">
        <f t="shared" si="14"/>
        <v>1.7647058823529473</v>
      </c>
      <c r="Z111" s="4">
        <f t="shared" si="15"/>
        <v>0</v>
      </c>
      <c r="AA111" s="4">
        <f t="shared" si="16"/>
        <v>1</v>
      </c>
      <c r="AB111" s="4">
        <f t="shared" si="17"/>
        <v>0</v>
      </c>
      <c r="AC111" s="63"/>
      <c r="AD111" s="63"/>
      <c r="AF111" s="63">
        <f>IF($M111&lt;$S111,1,0)</f>
        <v>1</v>
      </c>
      <c r="AG111" s="63">
        <f>IF($M111=$S111,1,0)</f>
        <v>0</v>
      </c>
      <c r="AH111" s="63">
        <f>IF($M111&gt;$S111,1,0)</f>
        <v>0</v>
      </c>
    </row>
    <row r="112" spans="1:34" x14ac:dyDescent="0.6">
      <c r="A112" s="6" t="s">
        <v>515</v>
      </c>
      <c r="B112" s="24">
        <v>15</v>
      </c>
      <c r="C112" s="12" t="s">
        <v>970</v>
      </c>
      <c r="D112" s="13" t="s">
        <v>978</v>
      </c>
      <c r="E112" s="13" t="s">
        <v>984</v>
      </c>
      <c r="F112" s="10">
        <v>1</v>
      </c>
      <c r="G112" s="43" t="str">
        <f t="shared" si="9"/>
        <v>15_10-20_10-15_40-60</v>
      </c>
      <c r="H112">
        <v>353</v>
      </c>
      <c r="I112">
        <v>355</v>
      </c>
      <c r="J112" s="22">
        <v>3600.02</v>
      </c>
      <c r="K112" s="66">
        <f t="shared" si="10"/>
        <v>0.56657223796033995</v>
      </c>
      <c r="L112" s="10"/>
      <c r="M112" s="1">
        <v>355</v>
      </c>
      <c r="N112" s="1">
        <v>355</v>
      </c>
      <c r="O112" s="62">
        <v>1.51</v>
      </c>
      <c r="P112" s="66">
        <f t="shared" si="11"/>
        <v>0.56657223796033995</v>
      </c>
      <c r="Q112" s="66">
        <f t="shared" si="12"/>
        <v>0.56657223796033995</v>
      </c>
      <c r="S112">
        <v>356</v>
      </c>
      <c r="T112">
        <v>356.6</v>
      </c>
      <c r="U112" s="17">
        <v>3.77532406</v>
      </c>
      <c r="V112" s="66">
        <f t="shared" si="13"/>
        <v>0.84985835694051004</v>
      </c>
      <c r="W112" s="66">
        <f t="shared" si="14"/>
        <v>1.0198300283286184</v>
      </c>
      <c r="Z112" s="4">
        <f t="shared" si="15"/>
        <v>0</v>
      </c>
      <c r="AA112" s="4">
        <f t="shared" si="16"/>
        <v>1</v>
      </c>
      <c r="AB112" s="4">
        <f t="shared" si="17"/>
        <v>0</v>
      </c>
      <c r="AC112" s="63"/>
      <c r="AD112" s="63"/>
      <c r="AF112" s="63">
        <f>IF($M112&lt;$S112,1,0)</f>
        <v>1</v>
      </c>
      <c r="AG112" s="63">
        <f>IF($M112=$S112,1,0)</f>
        <v>0</v>
      </c>
      <c r="AH112" s="63">
        <f>IF($M112&gt;$S112,1,0)</f>
        <v>0</v>
      </c>
    </row>
    <row r="113" spans="1:34" x14ac:dyDescent="0.6">
      <c r="A113" s="6" t="s">
        <v>516</v>
      </c>
      <c r="B113" s="24">
        <v>15</v>
      </c>
      <c r="C113" s="12" t="s">
        <v>970</v>
      </c>
      <c r="D113" s="13" t="s">
        <v>978</v>
      </c>
      <c r="E113" s="13" t="s">
        <v>984</v>
      </c>
      <c r="F113" s="10">
        <v>2</v>
      </c>
      <c r="G113" s="43" t="str">
        <f t="shared" si="9"/>
        <v>15_10-20_10-15_40-60</v>
      </c>
      <c r="H113">
        <v>345</v>
      </c>
      <c r="I113">
        <v>348</v>
      </c>
      <c r="J113" s="22">
        <v>3600.01</v>
      </c>
      <c r="K113" s="66">
        <f t="shared" si="10"/>
        <v>0.86956521739130432</v>
      </c>
      <c r="L113" s="10"/>
      <c r="M113" s="1">
        <v>348</v>
      </c>
      <c r="N113" s="1">
        <v>348</v>
      </c>
      <c r="O113" s="62">
        <v>1.51</v>
      </c>
      <c r="P113" s="66">
        <f t="shared" si="11"/>
        <v>0.86956521739130432</v>
      </c>
      <c r="Q113" s="66">
        <f t="shared" si="12"/>
        <v>0.86956521739130432</v>
      </c>
      <c r="S113">
        <v>349</v>
      </c>
      <c r="T113">
        <v>352</v>
      </c>
      <c r="U113" s="17">
        <v>3.9855906800000001</v>
      </c>
      <c r="V113" s="66">
        <f t="shared" si="13"/>
        <v>1.1594202898550725</v>
      </c>
      <c r="W113" s="66">
        <f t="shared" si="14"/>
        <v>2.0289855072463765</v>
      </c>
      <c r="Z113" s="4">
        <f t="shared" si="15"/>
        <v>0</v>
      </c>
      <c r="AA113" s="4">
        <f t="shared" si="16"/>
        <v>1</v>
      </c>
      <c r="AB113" s="4">
        <f t="shared" si="17"/>
        <v>0</v>
      </c>
      <c r="AC113" s="63"/>
      <c r="AD113" s="63"/>
      <c r="AF113" s="63">
        <f>IF($M113&lt;$S113,1,0)</f>
        <v>1</v>
      </c>
      <c r="AG113" s="63">
        <f>IF($M113=$S113,1,0)</f>
        <v>0</v>
      </c>
      <c r="AH113" s="63">
        <f>IF($M113&gt;$S113,1,0)</f>
        <v>0</v>
      </c>
    </row>
    <row r="114" spans="1:34" x14ac:dyDescent="0.6">
      <c r="A114" s="6" t="s">
        <v>517</v>
      </c>
      <c r="B114" s="24">
        <v>15</v>
      </c>
      <c r="C114" s="12" t="s">
        <v>970</v>
      </c>
      <c r="D114" s="13" t="s">
        <v>978</v>
      </c>
      <c r="E114" s="13" t="s">
        <v>982</v>
      </c>
      <c r="F114" s="10">
        <v>3</v>
      </c>
      <c r="G114" s="43" t="str">
        <f t="shared" si="9"/>
        <v>15_10-20_10-15_40-60</v>
      </c>
      <c r="H114">
        <v>351</v>
      </c>
      <c r="I114">
        <v>354</v>
      </c>
      <c r="J114" s="22">
        <v>3600.02</v>
      </c>
      <c r="K114" s="66">
        <f t="shared" si="10"/>
        <v>0.85470085470085477</v>
      </c>
      <c r="L114" s="10"/>
      <c r="M114" s="1">
        <v>354</v>
      </c>
      <c r="N114" s="1">
        <v>354</v>
      </c>
      <c r="O114" s="62">
        <v>1.51</v>
      </c>
      <c r="P114" s="66">
        <f t="shared" si="11"/>
        <v>0.85470085470085477</v>
      </c>
      <c r="Q114" s="66">
        <f t="shared" si="12"/>
        <v>0.85470085470085477</v>
      </c>
      <c r="S114">
        <v>355</v>
      </c>
      <c r="T114">
        <v>356.8</v>
      </c>
      <c r="U114" s="17">
        <v>3.90084732</v>
      </c>
      <c r="V114" s="66">
        <f t="shared" si="13"/>
        <v>1.1396011396011396</v>
      </c>
      <c r="W114" s="66">
        <f t="shared" si="14"/>
        <v>1.6524216524216557</v>
      </c>
      <c r="Z114" s="4">
        <f t="shared" si="15"/>
        <v>0</v>
      </c>
      <c r="AA114" s="4">
        <f t="shared" si="16"/>
        <v>1</v>
      </c>
      <c r="AB114" s="4">
        <f t="shared" si="17"/>
        <v>0</v>
      </c>
      <c r="AC114" s="63"/>
      <c r="AD114" s="63"/>
      <c r="AF114" s="63">
        <f>IF($M114&lt;$S114,1,0)</f>
        <v>1</v>
      </c>
      <c r="AG114" s="63">
        <f>IF($M114=$S114,1,0)</f>
        <v>0</v>
      </c>
      <c r="AH114" s="63">
        <f>IF($M114&gt;$S114,1,0)</f>
        <v>0</v>
      </c>
    </row>
    <row r="115" spans="1:34" x14ac:dyDescent="0.6">
      <c r="A115" s="6" t="s">
        <v>518</v>
      </c>
      <c r="B115" s="24">
        <v>15</v>
      </c>
      <c r="C115" s="12" t="s">
        <v>970</v>
      </c>
      <c r="D115" s="13" t="s">
        <v>978</v>
      </c>
      <c r="E115" s="13" t="s">
        <v>982</v>
      </c>
      <c r="F115" s="10">
        <v>4</v>
      </c>
      <c r="G115" s="43" t="str">
        <f t="shared" si="9"/>
        <v>15_10-20_10-15_40-60</v>
      </c>
      <c r="H115">
        <v>361</v>
      </c>
      <c r="I115">
        <v>366</v>
      </c>
      <c r="J115" s="22">
        <v>3600.03</v>
      </c>
      <c r="K115" s="66">
        <f t="shared" si="10"/>
        <v>1.3850415512465373</v>
      </c>
      <c r="L115" s="10"/>
      <c r="M115" s="1">
        <v>366</v>
      </c>
      <c r="N115" s="1">
        <v>366</v>
      </c>
      <c r="O115" s="62">
        <v>1.51</v>
      </c>
      <c r="P115" s="66">
        <f t="shared" si="11"/>
        <v>1.3850415512465373</v>
      </c>
      <c r="Q115" s="66">
        <f t="shared" si="12"/>
        <v>1.3850415512465373</v>
      </c>
      <c r="S115">
        <v>367</v>
      </c>
      <c r="T115">
        <v>369.8</v>
      </c>
      <c r="U115" s="17">
        <v>4.1183384199999997</v>
      </c>
      <c r="V115" s="66">
        <f t="shared" si="13"/>
        <v>1.662049861495845</v>
      </c>
      <c r="W115" s="66">
        <f t="shared" si="14"/>
        <v>2.4376731301939092</v>
      </c>
      <c r="Z115" s="4">
        <f t="shared" si="15"/>
        <v>0</v>
      </c>
      <c r="AA115" s="4">
        <f t="shared" si="16"/>
        <v>1</v>
      </c>
      <c r="AB115" s="4">
        <f t="shared" si="17"/>
        <v>0</v>
      </c>
      <c r="AC115" s="63"/>
      <c r="AD115" s="63"/>
      <c r="AF115" s="63">
        <f>IF($M115&lt;$S115,1,0)</f>
        <v>1</v>
      </c>
      <c r="AG115" s="63">
        <f>IF($M115=$S115,1,0)</f>
        <v>0</v>
      </c>
      <c r="AH115" s="63">
        <f>IF($M115&gt;$S115,1,0)</f>
        <v>0</v>
      </c>
    </row>
    <row r="116" spans="1:34" x14ac:dyDescent="0.6">
      <c r="A116" s="6" t="s">
        <v>519</v>
      </c>
      <c r="B116" s="24">
        <v>15</v>
      </c>
      <c r="C116" s="12" t="s">
        <v>970</v>
      </c>
      <c r="D116" s="13" t="s">
        <v>978</v>
      </c>
      <c r="E116" s="13" t="s">
        <v>982</v>
      </c>
      <c r="F116" s="10">
        <v>5</v>
      </c>
      <c r="G116" s="43" t="str">
        <f t="shared" si="9"/>
        <v>15_10-20_10-15_40-60</v>
      </c>
      <c r="H116">
        <v>348</v>
      </c>
      <c r="I116">
        <v>352</v>
      </c>
      <c r="J116" s="22">
        <v>3600.02</v>
      </c>
      <c r="K116" s="66">
        <f t="shared" si="10"/>
        <v>1.1494252873563218</v>
      </c>
      <c r="L116" s="10"/>
      <c r="M116" s="1">
        <v>352</v>
      </c>
      <c r="N116" s="1">
        <v>352</v>
      </c>
      <c r="O116" s="62">
        <v>1.51</v>
      </c>
      <c r="P116" s="66">
        <f t="shared" si="11"/>
        <v>1.1494252873563218</v>
      </c>
      <c r="Q116" s="66">
        <f t="shared" si="12"/>
        <v>1.1494252873563218</v>
      </c>
      <c r="S116">
        <v>352</v>
      </c>
      <c r="T116">
        <v>356</v>
      </c>
      <c r="U116" s="17">
        <v>4.4292729599999996</v>
      </c>
      <c r="V116" s="66">
        <f t="shared" si="13"/>
        <v>1.1494252873563218</v>
      </c>
      <c r="W116" s="66">
        <f t="shared" si="14"/>
        <v>2.2988505747126435</v>
      </c>
      <c r="Z116" s="4">
        <f t="shared" si="15"/>
        <v>0</v>
      </c>
      <c r="AA116" s="4">
        <f t="shared" si="16"/>
        <v>1</v>
      </c>
      <c r="AB116" s="4">
        <f t="shared" si="17"/>
        <v>0</v>
      </c>
      <c r="AC116" s="63"/>
      <c r="AD116" s="63"/>
      <c r="AF116" s="63">
        <f>IF($M116&lt;$S116,1,0)</f>
        <v>0</v>
      </c>
      <c r="AG116" s="63">
        <f>IF($M116=$S116,1,0)</f>
        <v>1</v>
      </c>
      <c r="AH116" s="63">
        <f>IF($M116&gt;$S116,1,0)</f>
        <v>0</v>
      </c>
    </row>
    <row r="117" spans="1:34" x14ac:dyDescent="0.6">
      <c r="A117" s="6" t="s">
        <v>520</v>
      </c>
      <c r="B117" s="24">
        <v>15</v>
      </c>
      <c r="C117" s="12" t="s">
        <v>970</v>
      </c>
      <c r="D117" s="13" t="s">
        <v>978</v>
      </c>
      <c r="E117" s="13" t="s">
        <v>982</v>
      </c>
      <c r="F117" s="10">
        <v>6</v>
      </c>
      <c r="G117" s="43" t="str">
        <f t="shared" si="9"/>
        <v>15_10-20_10-15_40-60</v>
      </c>
      <c r="H117">
        <v>379</v>
      </c>
      <c r="I117">
        <v>382</v>
      </c>
      <c r="J117" s="22">
        <v>3600.03</v>
      </c>
      <c r="K117" s="66">
        <f t="shared" si="10"/>
        <v>0.79155672823219003</v>
      </c>
      <c r="L117" s="10"/>
      <c r="M117" s="1">
        <v>382</v>
      </c>
      <c r="N117" s="1">
        <v>382</v>
      </c>
      <c r="O117" s="62">
        <v>1.51</v>
      </c>
      <c r="P117" s="66">
        <f t="shared" si="11"/>
        <v>0.79155672823219003</v>
      </c>
      <c r="Q117" s="66">
        <f t="shared" si="12"/>
        <v>0.79155672823219003</v>
      </c>
      <c r="S117">
        <v>384</v>
      </c>
      <c r="T117">
        <v>385.8</v>
      </c>
      <c r="U117" s="17">
        <v>4.2223383600000002</v>
      </c>
      <c r="V117" s="66">
        <f t="shared" si="13"/>
        <v>1.3192612137203166</v>
      </c>
      <c r="W117" s="66">
        <f t="shared" si="14"/>
        <v>1.7941952506596335</v>
      </c>
      <c r="Z117" s="4">
        <f t="shared" si="15"/>
        <v>0</v>
      </c>
      <c r="AA117" s="4">
        <f t="shared" si="16"/>
        <v>1</v>
      </c>
      <c r="AB117" s="4">
        <f t="shared" si="17"/>
        <v>0</v>
      </c>
      <c r="AC117" s="63"/>
      <c r="AD117" s="63"/>
      <c r="AF117" s="63">
        <f>IF($M117&lt;$S117,1,0)</f>
        <v>1</v>
      </c>
      <c r="AG117" s="63">
        <f>IF($M117=$S117,1,0)</f>
        <v>0</v>
      </c>
      <c r="AH117" s="63">
        <f>IF($M117&gt;$S117,1,0)</f>
        <v>0</v>
      </c>
    </row>
    <row r="118" spans="1:34" x14ac:dyDescent="0.6">
      <c r="A118" s="6" t="s">
        <v>521</v>
      </c>
      <c r="B118" s="24">
        <v>15</v>
      </c>
      <c r="C118" s="12" t="s">
        <v>970</v>
      </c>
      <c r="D118" s="13" t="s">
        <v>978</v>
      </c>
      <c r="E118" s="13" t="s">
        <v>982</v>
      </c>
      <c r="F118" s="10">
        <v>7</v>
      </c>
      <c r="G118" s="43" t="str">
        <f t="shared" si="9"/>
        <v>15_10-20_10-15_40-60</v>
      </c>
      <c r="H118">
        <v>367</v>
      </c>
      <c r="I118">
        <v>368</v>
      </c>
      <c r="J118" s="22">
        <v>3600.03</v>
      </c>
      <c r="K118" s="66">
        <f t="shared" si="10"/>
        <v>0.27247956403269752</v>
      </c>
      <c r="L118" s="10"/>
      <c r="M118" s="1">
        <v>368</v>
      </c>
      <c r="N118" s="1">
        <v>368</v>
      </c>
      <c r="O118" s="62">
        <v>1.51</v>
      </c>
      <c r="P118" s="66">
        <f t="shared" si="11"/>
        <v>0.27247956403269752</v>
      </c>
      <c r="Q118" s="66">
        <f t="shared" si="12"/>
        <v>0.27247956403269752</v>
      </c>
      <c r="S118">
        <v>368</v>
      </c>
      <c r="T118">
        <v>370.2</v>
      </c>
      <c r="U118" s="17">
        <v>3.9009244399999998</v>
      </c>
      <c r="V118" s="66">
        <f t="shared" si="13"/>
        <v>0.27247956403269752</v>
      </c>
      <c r="W118" s="66">
        <f t="shared" si="14"/>
        <v>0.87193460490462904</v>
      </c>
      <c r="Z118" s="4">
        <f t="shared" si="15"/>
        <v>0</v>
      </c>
      <c r="AA118" s="4">
        <f t="shared" si="16"/>
        <v>1</v>
      </c>
      <c r="AB118" s="4">
        <f t="shared" si="17"/>
        <v>0</v>
      </c>
      <c r="AC118" s="63"/>
      <c r="AD118" s="63"/>
      <c r="AF118" s="63">
        <f>IF($M118&lt;$S118,1,0)</f>
        <v>0</v>
      </c>
      <c r="AG118" s="63">
        <f>IF($M118=$S118,1,0)</f>
        <v>1</v>
      </c>
      <c r="AH118" s="63">
        <f>IF($M118&gt;$S118,1,0)</f>
        <v>0</v>
      </c>
    </row>
    <row r="119" spans="1:34" x14ac:dyDescent="0.6">
      <c r="A119" s="6" t="s">
        <v>522</v>
      </c>
      <c r="B119" s="24">
        <v>15</v>
      </c>
      <c r="C119" s="12" t="s">
        <v>970</v>
      </c>
      <c r="D119" s="13" t="s">
        <v>978</v>
      </c>
      <c r="E119" s="13" t="s">
        <v>982</v>
      </c>
      <c r="F119" s="10">
        <v>8</v>
      </c>
      <c r="G119" s="43" t="str">
        <f t="shared" si="9"/>
        <v>15_10-20_10-15_40-60</v>
      </c>
      <c r="H119">
        <v>358</v>
      </c>
      <c r="I119">
        <v>366</v>
      </c>
      <c r="J119" s="22">
        <v>3600.01</v>
      </c>
      <c r="K119" s="66">
        <f t="shared" si="10"/>
        <v>2.2346368715083798</v>
      </c>
      <c r="L119" s="10"/>
      <c r="M119" s="1">
        <v>364</v>
      </c>
      <c r="N119" s="1">
        <v>364</v>
      </c>
      <c r="O119" s="62">
        <v>1.51</v>
      </c>
      <c r="P119" s="66">
        <f t="shared" si="11"/>
        <v>1.6759776536312849</v>
      </c>
      <c r="Q119" s="66">
        <f t="shared" si="12"/>
        <v>1.6759776536312849</v>
      </c>
      <c r="S119">
        <v>366</v>
      </c>
      <c r="T119">
        <v>368.4</v>
      </c>
      <c r="U119" s="17">
        <v>4.3442854200000003</v>
      </c>
      <c r="V119" s="66">
        <f t="shared" si="13"/>
        <v>2.2346368715083798</v>
      </c>
      <c r="W119" s="66">
        <f t="shared" si="14"/>
        <v>2.9050279329608877</v>
      </c>
      <c r="Z119" s="4">
        <f t="shared" si="15"/>
        <v>1</v>
      </c>
      <c r="AA119" s="4">
        <f t="shared" si="16"/>
        <v>0</v>
      </c>
      <c r="AB119" s="4">
        <f t="shared" si="17"/>
        <v>0</v>
      </c>
      <c r="AC119" s="63"/>
      <c r="AD119" s="63"/>
      <c r="AF119" s="63">
        <f>IF($M119&lt;$S119,1,0)</f>
        <v>1</v>
      </c>
      <c r="AG119" s="63">
        <f>IF($M119=$S119,1,0)</f>
        <v>0</v>
      </c>
      <c r="AH119" s="63">
        <f>IF($M119&gt;$S119,1,0)</f>
        <v>0</v>
      </c>
    </row>
    <row r="120" spans="1:34" x14ac:dyDescent="0.6">
      <c r="A120" s="6" t="s">
        <v>523</v>
      </c>
      <c r="B120" s="24">
        <v>15</v>
      </c>
      <c r="C120" s="12" t="s">
        <v>970</v>
      </c>
      <c r="D120" s="13" t="s">
        <v>978</v>
      </c>
      <c r="E120" s="13" t="s">
        <v>982</v>
      </c>
      <c r="F120" s="10">
        <v>9</v>
      </c>
      <c r="G120" s="43" t="str">
        <f t="shared" si="9"/>
        <v>15_10-20_10-15_40-60</v>
      </c>
      <c r="H120">
        <v>357</v>
      </c>
      <c r="I120">
        <v>360</v>
      </c>
      <c r="J120" s="22">
        <v>3600.02</v>
      </c>
      <c r="K120" s="66">
        <f t="shared" si="10"/>
        <v>0.84033613445378152</v>
      </c>
      <c r="L120" s="10"/>
      <c r="M120" s="1">
        <v>360</v>
      </c>
      <c r="N120" s="1">
        <v>360</v>
      </c>
      <c r="O120" s="62">
        <v>1.51</v>
      </c>
      <c r="P120" s="66">
        <f t="shared" si="11"/>
        <v>0.84033613445378152</v>
      </c>
      <c r="Q120" s="66">
        <f t="shared" si="12"/>
        <v>0.84033613445378152</v>
      </c>
      <c r="S120">
        <v>360</v>
      </c>
      <c r="T120">
        <v>361.8</v>
      </c>
      <c r="U120" s="17">
        <v>3.9046527800000002</v>
      </c>
      <c r="V120" s="66">
        <f t="shared" si="13"/>
        <v>0.84033613445378152</v>
      </c>
      <c r="W120" s="66">
        <f t="shared" si="14"/>
        <v>1.3445378151260536</v>
      </c>
      <c r="Z120" s="4">
        <f t="shared" si="15"/>
        <v>0</v>
      </c>
      <c r="AA120" s="4">
        <f t="shared" si="16"/>
        <v>1</v>
      </c>
      <c r="AB120" s="4">
        <f t="shared" si="17"/>
        <v>0</v>
      </c>
      <c r="AC120" s="63"/>
      <c r="AD120" s="63"/>
      <c r="AF120" s="63">
        <f>IF($M120&lt;$S120,1,0)</f>
        <v>0</v>
      </c>
      <c r="AG120" s="63">
        <f>IF($M120=$S120,1,0)</f>
        <v>1</v>
      </c>
      <c r="AH120" s="63">
        <f>IF($M120&gt;$S120,1,0)</f>
        <v>0</v>
      </c>
    </row>
    <row r="121" spans="1:34" x14ac:dyDescent="0.6">
      <c r="A121" s="6" t="s">
        <v>524</v>
      </c>
      <c r="B121" s="24">
        <v>15</v>
      </c>
      <c r="C121" s="12" t="s">
        <v>970</v>
      </c>
      <c r="D121" s="13" t="s">
        <v>978</v>
      </c>
      <c r="E121" s="13" t="s">
        <v>982</v>
      </c>
      <c r="F121" s="10">
        <v>10</v>
      </c>
      <c r="G121" s="43" t="str">
        <f t="shared" si="9"/>
        <v>15_10-20_10-15_40-60</v>
      </c>
      <c r="H121">
        <v>374</v>
      </c>
      <c r="I121">
        <v>376</v>
      </c>
      <c r="J121" s="22">
        <v>3600.02</v>
      </c>
      <c r="K121" s="66">
        <f t="shared" si="10"/>
        <v>0.53475935828876997</v>
      </c>
      <c r="L121" s="10"/>
      <c r="M121" s="1">
        <v>376</v>
      </c>
      <c r="N121" s="1">
        <v>376</v>
      </c>
      <c r="O121" s="62">
        <v>1.51</v>
      </c>
      <c r="P121" s="66">
        <f t="shared" si="11"/>
        <v>0.53475935828876997</v>
      </c>
      <c r="Q121" s="66">
        <f t="shared" si="12"/>
        <v>0.53475935828876997</v>
      </c>
      <c r="S121">
        <v>377</v>
      </c>
      <c r="T121">
        <v>379</v>
      </c>
      <c r="U121" s="17">
        <v>4.4733948799999999</v>
      </c>
      <c r="V121" s="66">
        <f t="shared" si="13"/>
        <v>0.80213903743315518</v>
      </c>
      <c r="W121" s="66">
        <f t="shared" si="14"/>
        <v>1.3368983957219251</v>
      </c>
      <c r="Z121" s="4">
        <f t="shared" si="15"/>
        <v>0</v>
      </c>
      <c r="AA121" s="4">
        <f t="shared" si="16"/>
        <v>1</v>
      </c>
      <c r="AB121" s="4">
        <f t="shared" si="17"/>
        <v>0</v>
      </c>
      <c r="AC121" s="63"/>
      <c r="AD121" s="63"/>
      <c r="AF121" s="63">
        <f>IF($M121&lt;$S121,1,0)</f>
        <v>1</v>
      </c>
      <c r="AG121" s="63">
        <f>IF($M121=$S121,1,0)</f>
        <v>0</v>
      </c>
      <c r="AH121" s="63">
        <f>IF($M121&gt;$S121,1,0)</f>
        <v>0</v>
      </c>
    </row>
    <row r="122" spans="1:34" x14ac:dyDescent="0.6">
      <c r="A122" s="6" t="s">
        <v>525</v>
      </c>
      <c r="B122" s="24">
        <v>15</v>
      </c>
      <c r="C122" s="13" t="s">
        <v>974</v>
      </c>
      <c r="D122" s="13" t="s">
        <v>977</v>
      </c>
      <c r="E122" s="13" t="s">
        <v>981</v>
      </c>
      <c r="F122" s="10">
        <v>1</v>
      </c>
      <c r="G122" s="43" t="str">
        <f t="shared" si="9"/>
        <v>15_20-30_5-10_20-40</v>
      </c>
      <c r="H122">
        <v>433</v>
      </c>
      <c r="I122">
        <v>435</v>
      </c>
      <c r="J122" s="22">
        <v>3600.03</v>
      </c>
      <c r="K122" s="66">
        <f t="shared" si="10"/>
        <v>0.46189376443418012</v>
      </c>
      <c r="L122" s="10"/>
      <c r="M122" s="1">
        <v>435</v>
      </c>
      <c r="N122" s="1">
        <v>435</v>
      </c>
      <c r="O122" s="62">
        <v>1.51</v>
      </c>
      <c r="P122" s="66">
        <f t="shared" si="11"/>
        <v>0.46189376443418012</v>
      </c>
      <c r="Q122" s="66">
        <f t="shared" si="12"/>
        <v>0.46189376443418012</v>
      </c>
      <c r="S122">
        <v>435</v>
      </c>
      <c r="T122">
        <v>436.8</v>
      </c>
      <c r="U122" s="17">
        <v>3.9434786000000002</v>
      </c>
      <c r="V122" s="66">
        <f t="shared" si="13"/>
        <v>0.46189376443418012</v>
      </c>
      <c r="W122" s="66">
        <f t="shared" si="14"/>
        <v>0.87759815242494477</v>
      </c>
      <c r="Z122" s="4">
        <f t="shared" si="15"/>
        <v>0</v>
      </c>
      <c r="AA122" s="4">
        <f t="shared" si="16"/>
        <v>1</v>
      </c>
      <c r="AB122" s="4">
        <f t="shared" si="17"/>
        <v>0</v>
      </c>
      <c r="AC122" s="63"/>
      <c r="AD122" s="63"/>
      <c r="AF122" s="63">
        <f>IF($M122&lt;$S122,1,0)</f>
        <v>0</v>
      </c>
      <c r="AG122" s="63">
        <f>IF($M122=$S122,1,0)</f>
        <v>1</v>
      </c>
      <c r="AH122" s="63">
        <f>IF($M122&gt;$S122,1,0)</f>
        <v>0</v>
      </c>
    </row>
    <row r="123" spans="1:34" x14ac:dyDescent="0.6">
      <c r="A123" s="6" t="s">
        <v>526</v>
      </c>
      <c r="B123" s="24">
        <v>15</v>
      </c>
      <c r="C123" s="13" t="s">
        <v>974</v>
      </c>
      <c r="D123" s="13" t="s">
        <v>977</v>
      </c>
      <c r="E123" s="13" t="s">
        <v>981</v>
      </c>
      <c r="F123" s="10">
        <v>2</v>
      </c>
      <c r="G123" s="43" t="str">
        <f t="shared" si="9"/>
        <v>15_20-30_5-10_20-40</v>
      </c>
      <c r="H123">
        <v>425</v>
      </c>
      <c r="I123">
        <v>428</v>
      </c>
      <c r="J123" s="22">
        <v>3600.03</v>
      </c>
      <c r="K123" s="66">
        <f t="shared" si="10"/>
        <v>0.70588235294117652</v>
      </c>
      <c r="L123" s="10"/>
      <c r="M123" s="1">
        <v>428</v>
      </c>
      <c r="N123" s="1">
        <v>428</v>
      </c>
      <c r="O123" s="62">
        <v>1.51</v>
      </c>
      <c r="P123" s="66">
        <f t="shared" si="11"/>
        <v>0.70588235294117652</v>
      </c>
      <c r="Q123" s="66">
        <f t="shared" si="12"/>
        <v>0.70588235294117652</v>
      </c>
      <c r="S123">
        <v>428</v>
      </c>
      <c r="T123">
        <v>429.4</v>
      </c>
      <c r="U123" s="17">
        <v>3.8944350600000002</v>
      </c>
      <c r="V123" s="66">
        <f t="shared" si="13"/>
        <v>0.70588235294117652</v>
      </c>
      <c r="W123" s="66">
        <f t="shared" si="14"/>
        <v>1.0352941176470536</v>
      </c>
      <c r="Z123" s="4">
        <f t="shared" si="15"/>
        <v>0</v>
      </c>
      <c r="AA123" s="4">
        <f t="shared" si="16"/>
        <v>1</v>
      </c>
      <c r="AB123" s="4">
        <f t="shared" si="17"/>
        <v>0</v>
      </c>
      <c r="AC123" s="63"/>
      <c r="AD123" s="63"/>
      <c r="AF123" s="63">
        <f>IF($M123&lt;$S123,1,0)</f>
        <v>0</v>
      </c>
      <c r="AG123" s="63">
        <f>IF($M123=$S123,1,0)</f>
        <v>1</v>
      </c>
      <c r="AH123" s="63">
        <f>IF($M123&gt;$S123,1,0)</f>
        <v>0</v>
      </c>
    </row>
    <row r="124" spans="1:34" x14ac:dyDescent="0.6">
      <c r="A124" s="6" t="s">
        <v>527</v>
      </c>
      <c r="B124" s="24">
        <v>15</v>
      </c>
      <c r="C124" s="13" t="s">
        <v>973</v>
      </c>
      <c r="D124" s="13" t="s">
        <v>976</v>
      </c>
      <c r="E124" s="13" t="s">
        <v>980</v>
      </c>
      <c r="F124" s="10">
        <v>3</v>
      </c>
      <c r="G124" s="43" t="str">
        <f t="shared" si="9"/>
        <v>15_20-30_5-10_20-40</v>
      </c>
      <c r="H124">
        <v>431</v>
      </c>
      <c r="I124">
        <v>433</v>
      </c>
      <c r="J124" s="22">
        <v>3600.02</v>
      </c>
      <c r="K124" s="66">
        <f t="shared" si="10"/>
        <v>0.46403712296983757</v>
      </c>
      <c r="L124" s="10"/>
      <c r="M124" s="1">
        <v>433</v>
      </c>
      <c r="N124" s="1">
        <v>433</v>
      </c>
      <c r="O124" s="62">
        <v>1.51</v>
      </c>
      <c r="P124" s="66">
        <f t="shared" si="11"/>
        <v>0.46403712296983757</v>
      </c>
      <c r="Q124" s="66">
        <f t="shared" si="12"/>
        <v>0.46403712296983757</v>
      </c>
      <c r="S124">
        <v>434</v>
      </c>
      <c r="T124">
        <v>435.4</v>
      </c>
      <c r="U124" s="17">
        <v>4.0172387399999998</v>
      </c>
      <c r="V124" s="66">
        <f t="shared" si="13"/>
        <v>0.6960556844547563</v>
      </c>
      <c r="W124" s="66">
        <f t="shared" si="14"/>
        <v>1.0208816705336374</v>
      </c>
      <c r="Z124" s="4">
        <f t="shared" si="15"/>
        <v>0</v>
      </c>
      <c r="AA124" s="4">
        <f t="shared" si="16"/>
        <v>1</v>
      </c>
      <c r="AB124" s="4">
        <f t="shared" si="17"/>
        <v>0</v>
      </c>
      <c r="AC124" s="63"/>
      <c r="AD124" s="63"/>
      <c r="AF124" s="63">
        <f>IF($M124&lt;$S124,1,0)</f>
        <v>1</v>
      </c>
      <c r="AG124" s="63">
        <f>IF($M124=$S124,1,0)</f>
        <v>0</v>
      </c>
      <c r="AH124" s="63">
        <f>IF($M124&gt;$S124,1,0)</f>
        <v>0</v>
      </c>
    </row>
    <row r="125" spans="1:34" x14ac:dyDescent="0.6">
      <c r="A125" s="6" t="s">
        <v>528</v>
      </c>
      <c r="B125" s="24">
        <v>15</v>
      </c>
      <c r="C125" s="13" t="s">
        <v>973</v>
      </c>
      <c r="D125" s="13" t="s">
        <v>976</v>
      </c>
      <c r="E125" s="13" t="s">
        <v>980</v>
      </c>
      <c r="F125" s="10">
        <v>4</v>
      </c>
      <c r="G125" s="43" t="str">
        <f t="shared" si="9"/>
        <v>15_20-30_5-10_20-40</v>
      </c>
      <c r="H125">
        <v>441</v>
      </c>
      <c r="I125">
        <v>446</v>
      </c>
      <c r="J125" s="22">
        <v>3600.02</v>
      </c>
      <c r="K125" s="66">
        <f t="shared" si="10"/>
        <v>1.1337868480725624</v>
      </c>
      <c r="L125" s="10"/>
      <c r="M125" s="1">
        <v>446</v>
      </c>
      <c r="N125" s="1">
        <v>446</v>
      </c>
      <c r="O125" s="62">
        <v>1.51</v>
      </c>
      <c r="P125" s="66">
        <f t="shared" si="11"/>
        <v>1.1337868480725624</v>
      </c>
      <c r="Q125" s="66">
        <f t="shared" si="12"/>
        <v>1.1337868480725624</v>
      </c>
      <c r="S125">
        <v>446</v>
      </c>
      <c r="T125">
        <v>447.2</v>
      </c>
      <c r="U125" s="17">
        <v>4.1382926400000004</v>
      </c>
      <c r="V125" s="66">
        <f t="shared" si="13"/>
        <v>1.1337868480725624</v>
      </c>
      <c r="W125" s="66">
        <f t="shared" si="14"/>
        <v>1.4058956916099747</v>
      </c>
      <c r="Z125" s="4">
        <f t="shared" si="15"/>
        <v>0</v>
      </c>
      <c r="AA125" s="4">
        <f t="shared" si="16"/>
        <v>1</v>
      </c>
      <c r="AB125" s="4">
        <f t="shared" si="17"/>
        <v>0</v>
      </c>
      <c r="AC125" s="63"/>
      <c r="AD125" s="63"/>
      <c r="AF125" s="63">
        <f>IF($M125&lt;$S125,1,0)</f>
        <v>0</v>
      </c>
      <c r="AG125" s="63">
        <f>IF($M125=$S125,1,0)</f>
        <v>1</v>
      </c>
      <c r="AH125" s="63">
        <f>IF($M125&gt;$S125,1,0)</f>
        <v>0</v>
      </c>
    </row>
    <row r="126" spans="1:34" x14ac:dyDescent="0.6">
      <c r="A126" s="6" t="s">
        <v>529</v>
      </c>
      <c r="B126" s="24">
        <v>15</v>
      </c>
      <c r="C126" s="13" t="s">
        <v>973</v>
      </c>
      <c r="D126" s="13" t="s">
        <v>976</v>
      </c>
      <c r="E126" s="13" t="s">
        <v>980</v>
      </c>
      <c r="F126" s="10">
        <v>5</v>
      </c>
      <c r="G126" s="43" t="str">
        <f t="shared" si="9"/>
        <v>15_20-30_5-10_20-40</v>
      </c>
      <c r="H126">
        <v>428</v>
      </c>
      <c r="I126">
        <v>431</v>
      </c>
      <c r="J126" s="22">
        <v>3600.04</v>
      </c>
      <c r="K126" s="66">
        <f t="shared" si="10"/>
        <v>0.7009345794392523</v>
      </c>
      <c r="L126" s="10"/>
      <c r="M126" s="1">
        <v>431</v>
      </c>
      <c r="N126" s="1">
        <v>431</v>
      </c>
      <c r="O126" s="62">
        <v>1.51</v>
      </c>
      <c r="P126" s="66">
        <f t="shared" si="11"/>
        <v>0.7009345794392523</v>
      </c>
      <c r="Q126" s="66">
        <f t="shared" si="12"/>
        <v>0.7009345794392523</v>
      </c>
      <c r="S126">
        <v>434</v>
      </c>
      <c r="T126">
        <v>435.6</v>
      </c>
      <c r="U126" s="17">
        <v>4.3979105399999998</v>
      </c>
      <c r="V126" s="66">
        <f t="shared" si="13"/>
        <v>1.4018691588785046</v>
      </c>
      <c r="W126" s="66">
        <f t="shared" si="14"/>
        <v>1.7757009345794446</v>
      </c>
      <c r="Z126" s="4">
        <f t="shared" si="15"/>
        <v>0</v>
      </c>
      <c r="AA126" s="4">
        <f t="shared" si="16"/>
        <v>1</v>
      </c>
      <c r="AB126" s="4">
        <f t="shared" si="17"/>
        <v>0</v>
      </c>
      <c r="AC126" s="63"/>
      <c r="AD126" s="63"/>
      <c r="AF126" s="63">
        <f>IF($M126&lt;$S126,1,0)</f>
        <v>1</v>
      </c>
      <c r="AG126" s="63">
        <f>IF($M126=$S126,1,0)</f>
        <v>0</v>
      </c>
      <c r="AH126" s="63">
        <f>IF($M126&gt;$S126,1,0)</f>
        <v>0</v>
      </c>
    </row>
    <row r="127" spans="1:34" x14ac:dyDescent="0.6">
      <c r="A127" s="6" t="s">
        <v>530</v>
      </c>
      <c r="B127" s="24">
        <v>15</v>
      </c>
      <c r="C127" s="13" t="s">
        <v>973</v>
      </c>
      <c r="D127" s="13" t="s">
        <v>976</v>
      </c>
      <c r="E127" s="13" t="s">
        <v>980</v>
      </c>
      <c r="F127" s="10">
        <v>6</v>
      </c>
      <c r="G127" s="43" t="str">
        <f t="shared" si="9"/>
        <v>15_20-30_5-10_20-40</v>
      </c>
      <c r="H127">
        <v>459</v>
      </c>
      <c r="I127">
        <v>460</v>
      </c>
      <c r="J127" s="22">
        <v>3600.02</v>
      </c>
      <c r="K127" s="66">
        <f t="shared" si="10"/>
        <v>0.2178649237472767</v>
      </c>
      <c r="L127" s="10"/>
      <c r="M127" s="1">
        <v>460</v>
      </c>
      <c r="N127" s="1">
        <v>460</v>
      </c>
      <c r="O127" s="62">
        <v>1.5</v>
      </c>
      <c r="P127" s="66">
        <f t="shared" si="11"/>
        <v>0.2178649237472767</v>
      </c>
      <c r="Q127" s="66">
        <f t="shared" si="12"/>
        <v>0.2178649237472767</v>
      </c>
      <c r="S127">
        <v>460</v>
      </c>
      <c r="T127">
        <v>462.8</v>
      </c>
      <c r="U127" s="17">
        <v>4.2276049799999997</v>
      </c>
      <c r="V127" s="66">
        <f t="shared" si="13"/>
        <v>0.2178649237472767</v>
      </c>
      <c r="W127" s="66">
        <f t="shared" si="14"/>
        <v>0.82788671023965399</v>
      </c>
      <c r="Z127" s="4">
        <f t="shared" si="15"/>
        <v>0</v>
      </c>
      <c r="AA127" s="4">
        <f t="shared" si="16"/>
        <v>1</v>
      </c>
      <c r="AB127" s="4">
        <f t="shared" si="17"/>
        <v>0</v>
      </c>
      <c r="AC127" s="63"/>
      <c r="AD127" s="63"/>
      <c r="AF127" s="63">
        <f>IF($M127&lt;$S127,1,0)</f>
        <v>0</v>
      </c>
      <c r="AG127" s="63">
        <f>IF($M127=$S127,1,0)</f>
        <v>1</v>
      </c>
      <c r="AH127" s="63">
        <f>IF($M127&gt;$S127,1,0)</f>
        <v>0</v>
      </c>
    </row>
    <row r="128" spans="1:34" x14ac:dyDescent="0.6">
      <c r="A128" s="6" t="s">
        <v>531</v>
      </c>
      <c r="B128" s="24">
        <v>15</v>
      </c>
      <c r="C128" s="13" t="s">
        <v>973</v>
      </c>
      <c r="D128" s="13" t="s">
        <v>976</v>
      </c>
      <c r="E128" s="13" t="s">
        <v>980</v>
      </c>
      <c r="F128" s="10">
        <v>7</v>
      </c>
      <c r="G128" s="43" t="str">
        <f t="shared" si="9"/>
        <v>15_20-30_5-10_20-40</v>
      </c>
      <c r="H128">
        <v>447</v>
      </c>
      <c r="I128">
        <v>448</v>
      </c>
      <c r="J128" s="22">
        <v>3600.02</v>
      </c>
      <c r="K128" s="66">
        <f t="shared" si="10"/>
        <v>0.22371364653243847</v>
      </c>
      <c r="L128" s="10"/>
      <c r="M128" s="1">
        <v>448</v>
      </c>
      <c r="N128" s="1">
        <v>448</v>
      </c>
      <c r="O128" s="62">
        <v>1.51</v>
      </c>
      <c r="P128" s="66">
        <f t="shared" si="11"/>
        <v>0.22371364653243847</v>
      </c>
      <c r="Q128" s="66">
        <f t="shared" si="12"/>
        <v>0.22371364653243847</v>
      </c>
      <c r="S128">
        <v>448</v>
      </c>
      <c r="T128">
        <v>451</v>
      </c>
      <c r="U128" s="17">
        <v>4.0988141599999999</v>
      </c>
      <c r="V128" s="66">
        <f t="shared" si="13"/>
        <v>0.22371364653243847</v>
      </c>
      <c r="W128" s="66">
        <f t="shared" si="14"/>
        <v>0.89485458612975388</v>
      </c>
      <c r="Z128" s="4">
        <f t="shared" si="15"/>
        <v>0</v>
      </c>
      <c r="AA128" s="4">
        <f t="shared" si="16"/>
        <v>1</v>
      </c>
      <c r="AB128" s="4">
        <f t="shared" si="17"/>
        <v>0</v>
      </c>
      <c r="AC128" s="63"/>
      <c r="AD128" s="63"/>
      <c r="AF128" s="63">
        <f>IF($M128&lt;$S128,1,0)</f>
        <v>0</v>
      </c>
      <c r="AG128" s="63">
        <f>IF($M128=$S128,1,0)</f>
        <v>1</v>
      </c>
      <c r="AH128" s="63">
        <f>IF($M128&gt;$S128,1,0)</f>
        <v>0</v>
      </c>
    </row>
    <row r="129" spans="1:34" x14ac:dyDescent="0.6">
      <c r="A129" s="6" t="s">
        <v>532</v>
      </c>
      <c r="B129" s="24">
        <v>15</v>
      </c>
      <c r="C129" s="13" t="s">
        <v>973</v>
      </c>
      <c r="D129" s="13" t="s">
        <v>976</v>
      </c>
      <c r="E129" s="13" t="s">
        <v>980</v>
      </c>
      <c r="F129" s="10">
        <v>8</v>
      </c>
      <c r="G129" s="43" t="str">
        <f t="shared" si="9"/>
        <v>15_20-30_5-10_20-40</v>
      </c>
      <c r="H129">
        <v>438</v>
      </c>
      <c r="I129">
        <v>443</v>
      </c>
      <c r="J129" s="22">
        <v>3600.04</v>
      </c>
      <c r="K129" s="66">
        <f t="shared" si="10"/>
        <v>1.1415525114155249</v>
      </c>
      <c r="L129" s="10"/>
      <c r="M129" s="1">
        <v>443</v>
      </c>
      <c r="N129" s="1">
        <v>443</v>
      </c>
      <c r="O129" s="62">
        <v>1.51</v>
      </c>
      <c r="P129" s="66">
        <f t="shared" si="11"/>
        <v>1.1415525114155249</v>
      </c>
      <c r="Q129" s="66">
        <f t="shared" si="12"/>
        <v>1.1415525114155249</v>
      </c>
      <c r="S129">
        <v>445</v>
      </c>
      <c r="T129">
        <v>447</v>
      </c>
      <c r="U129" s="17">
        <v>4.38139302</v>
      </c>
      <c r="V129" s="66">
        <f t="shared" si="13"/>
        <v>1.5981735159817352</v>
      </c>
      <c r="W129" s="66">
        <f t="shared" si="14"/>
        <v>2.054794520547945</v>
      </c>
      <c r="Z129" s="4">
        <f t="shared" si="15"/>
        <v>0</v>
      </c>
      <c r="AA129" s="4">
        <f t="shared" si="16"/>
        <v>1</v>
      </c>
      <c r="AB129" s="4">
        <f t="shared" si="17"/>
        <v>0</v>
      </c>
      <c r="AC129" s="63"/>
      <c r="AD129" s="63"/>
      <c r="AF129" s="63">
        <f>IF($M129&lt;$S129,1,0)</f>
        <v>1</v>
      </c>
      <c r="AG129" s="63">
        <f>IF($M129=$S129,1,0)</f>
        <v>0</v>
      </c>
      <c r="AH129" s="63">
        <f>IF($M129&gt;$S129,1,0)</f>
        <v>0</v>
      </c>
    </row>
    <row r="130" spans="1:34" x14ac:dyDescent="0.6">
      <c r="A130" s="6" t="s">
        <v>533</v>
      </c>
      <c r="B130" s="24">
        <v>15</v>
      </c>
      <c r="C130" s="13" t="s">
        <v>973</v>
      </c>
      <c r="D130" s="13" t="s">
        <v>976</v>
      </c>
      <c r="E130" s="13" t="s">
        <v>980</v>
      </c>
      <c r="F130" s="10">
        <v>9</v>
      </c>
      <c r="G130" s="43" t="str">
        <f t="shared" si="9"/>
        <v>15_20-30_5-10_20-40</v>
      </c>
      <c r="H130">
        <v>437</v>
      </c>
      <c r="I130">
        <v>440</v>
      </c>
      <c r="J130" s="22">
        <v>3600.02</v>
      </c>
      <c r="K130" s="66">
        <f t="shared" si="10"/>
        <v>0.68649885583524028</v>
      </c>
      <c r="L130" s="10"/>
      <c r="M130" s="1">
        <v>440</v>
      </c>
      <c r="N130" s="1">
        <v>440</v>
      </c>
      <c r="O130" s="62">
        <v>1.51</v>
      </c>
      <c r="P130" s="66">
        <f t="shared" si="11"/>
        <v>0.68649885583524028</v>
      </c>
      <c r="Q130" s="66">
        <f t="shared" si="12"/>
        <v>0.68649885583524028</v>
      </c>
      <c r="S130">
        <v>440</v>
      </c>
      <c r="T130">
        <v>440.8</v>
      </c>
      <c r="U130" s="17">
        <v>3.93842508</v>
      </c>
      <c r="V130" s="66">
        <f t="shared" si="13"/>
        <v>0.68649885583524028</v>
      </c>
      <c r="W130" s="66">
        <f t="shared" si="14"/>
        <v>0.86956521739130699</v>
      </c>
      <c r="Z130" s="4">
        <f t="shared" si="15"/>
        <v>0</v>
      </c>
      <c r="AA130" s="4">
        <f t="shared" si="16"/>
        <v>1</v>
      </c>
      <c r="AB130" s="4">
        <f t="shared" si="17"/>
        <v>0</v>
      </c>
      <c r="AC130" s="63"/>
      <c r="AD130" s="63"/>
      <c r="AF130" s="63">
        <f>IF($M130&lt;$S130,1,0)</f>
        <v>0</v>
      </c>
      <c r="AG130" s="63">
        <f>IF($M130=$S130,1,0)</f>
        <v>1</v>
      </c>
      <c r="AH130" s="63">
        <f>IF($M130&gt;$S130,1,0)</f>
        <v>0</v>
      </c>
    </row>
    <row r="131" spans="1:34" x14ac:dyDescent="0.6">
      <c r="A131" s="6" t="s">
        <v>534</v>
      </c>
      <c r="B131" s="24">
        <v>15</v>
      </c>
      <c r="C131" s="13" t="s">
        <v>973</v>
      </c>
      <c r="D131" s="13" t="s">
        <v>976</v>
      </c>
      <c r="E131" s="13" t="s">
        <v>980</v>
      </c>
      <c r="F131" s="10">
        <v>10</v>
      </c>
      <c r="G131" s="43" t="str">
        <f t="shared" ref="G131:G161" si="18">B131 &amp; "_" &amp; C131 &amp; "_" &amp; D131 &amp; "_" &amp; E131</f>
        <v>15_20-30_5-10_20-40</v>
      </c>
      <c r="H131">
        <v>454</v>
      </c>
      <c r="I131">
        <v>456</v>
      </c>
      <c r="J131" s="22">
        <v>3600.03</v>
      </c>
      <c r="K131" s="66">
        <f t="shared" ref="K131:K161" si="19">(I131-$H131)/$H131*100</f>
        <v>0.44052863436123352</v>
      </c>
      <c r="L131" s="10"/>
      <c r="M131" s="1">
        <v>456</v>
      </c>
      <c r="N131" s="1">
        <v>456</v>
      </c>
      <c r="O131" s="62">
        <v>1.51</v>
      </c>
      <c r="P131" s="66">
        <f t="shared" ref="P131:P161" si="20">(M131-$H131)/$H131*100</f>
        <v>0.44052863436123352</v>
      </c>
      <c r="Q131" s="66">
        <f t="shared" ref="Q131:Q161" si="21">(N131-$H131)/$H131*100</f>
        <v>0.44052863436123352</v>
      </c>
      <c r="S131">
        <v>458</v>
      </c>
      <c r="T131">
        <v>458.4</v>
      </c>
      <c r="U131" s="17">
        <v>3.7836662400000001</v>
      </c>
      <c r="V131" s="66">
        <f t="shared" ref="V131:V161" si="22">(S131-$H131)/$H131*100</f>
        <v>0.88105726872246704</v>
      </c>
      <c r="W131" s="66">
        <f t="shared" ref="W131:W161" si="23">(T131-$H131)/$H131*100</f>
        <v>0.96916299559470875</v>
      </c>
      <c r="Z131" s="4">
        <f t="shared" ref="Z131:Z161" si="24">IF($M131&lt;$I131,1,0)</f>
        <v>0</v>
      </c>
      <c r="AA131" s="4">
        <f t="shared" ref="AA131:AA161" si="25">IF($M131=$I131,1,0)</f>
        <v>1</v>
      </c>
      <c r="AB131" s="4">
        <f t="shared" ref="AB131:AB161" si="26">IF($M131&gt;$I131,1,0)</f>
        <v>0</v>
      </c>
      <c r="AC131" s="63"/>
      <c r="AD131" s="63"/>
      <c r="AF131" s="63">
        <f>IF($M131&lt;$S131,1,0)</f>
        <v>1</v>
      </c>
      <c r="AG131" s="63">
        <f>IF($M131=$S131,1,0)</f>
        <v>0</v>
      </c>
      <c r="AH131" s="63">
        <f>IF($M131&gt;$S131,1,0)</f>
        <v>0</v>
      </c>
    </row>
    <row r="132" spans="1:34" x14ac:dyDescent="0.6">
      <c r="A132" s="6" t="s">
        <v>535</v>
      </c>
      <c r="B132" s="24">
        <v>15</v>
      </c>
      <c r="C132" s="13" t="s">
        <v>973</v>
      </c>
      <c r="D132" s="13" t="s">
        <v>976</v>
      </c>
      <c r="E132" s="13" t="s">
        <v>984</v>
      </c>
      <c r="F132" s="10">
        <v>1</v>
      </c>
      <c r="G132" s="43" t="str">
        <f t="shared" si="18"/>
        <v>15_20-30_5-10_40-60</v>
      </c>
      <c r="H132">
        <v>433</v>
      </c>
      <c r="I132">
        <v>435</v>
      </c>
      <c r="J132" s="22">
        <v>3600.02</v>
      </c>
      <c r="K132" s="66">
        <f t="shared" si="19"/>
        <v>0.46189376443418012</v>
      </c>
      <c r="L132" s="10"/>
      <c r="M132" s="1">
        <v>435</v>
      </c>
      <c r="N132" s="1">
        <v>435</v>
      </c>
      <c r="O132" s="62">
        <v>1.51</v>
      </c>
      <c r="P132" s="66">
        <f t="shared" si="20"/>
        <v>0.46189376443418012</v>
      </c>
      <c r="Q132" s="66">
        <f t="shared" si="21"/>
        <v>0.46189376443418012</v>
      </c>
      <c r="S132">
        <v>435</v>
      </c>
      <c r="T132">
        <v>436.8</v>
      </c>
      <c r="U132" s="17">
        <v>3.7997662600000002</v>
      </c>
      <c r="V132" s="66">
        <f t="shared" si="22"/>
        <v>0.46189376443418012</v>
      </c>
      <c r="W132" s="66">
        <f t="shared" si="23"/>
        <v>0.87759815242494477</v>
      </c>
      <c r="Z132" s="4">
        <f t="shared" si="24"/>
        <v>0</v>
      </c>
      <c r="AA132" s="4">
        <f t="shared" si="25"/>
        <v>1</v>
      </c>
      <c r="AB132" s="4">
        <f t="shared" si="26"/>
        <v>0</v>
      </c>
      <c r="AC132" s="63"/>
      <c r="AD132" s="63"/>
      <c r="AF132" s="63">
        <f>IF($M132&lt;$S132,1,0)</f>
        <v>0</v>
      </c>
      <c r="AG132" s="63">
        <f>IF($M132=$S132,1,0)</f>
        <v>1</v>
      </c>
      <c r="AH132" s="63">
        <f>IF($M132&gt;$S132,1,0)</f>
        <v>0</v>
      </c>
    </row>
    <row r="133" spans="1:34" x14ac:dyDescent="0.6">
      <c r="A133" s="6" t="s">
        <v>536</v>
      </c>
      <c r="B133" s="24">
        <v>15</v>
      </c>
      <c r="C133" s="13" t="s">
        <v>973</v>
      </c>
      <c r="D133" s="13" t="s">
        <v>976</v>
      </c>
      <c r="E133" s="13" t="s">
        <v>984</v>
      </c>
      <c r="F133" s="10">
        <v>2</v>
      </c>
      <c r="G133" s="43" t="str">
        <f t="shared" si="18"/>
        <v>15_20-30_5-10_40-60</v>
      </c>
      <c r="H133">
        <v>425</v>
      </c>
      <c r="I133">
        <v>429</v>
      </c>
      <c r="J133" s="22">
        <v>3600.03</v>
      </c>
      <c r="K133" s="66">
        <f t="shared" si="19"/>
        <v>0.94117647058823517</v>
      </c>
      <c r="L133" s="10"/>
      <c r="M133" s="1">
        <v>428</v>
      </c>
      <c r="N133" s="1">
        <v>428</v>
      </c>
      <c r="O133" s="62">
        <v>1.51</v>
      </c>
      <c r="P133" s="66">
        <f t="shared" si="20"/>
        <v>0.70588235294117652</v>
      </c>
      <c r="Q133" s="66">
        <f t="shared" si="21"/>
        <v>0.70588235294117652</v>
      </c>
      <c r="S133">
        <v>428</v>
      </c>
      <c r="T133">
        <v>429.6</v>
      </c>
      <c r="U133" s="17">
        <v>4.0425426199999999</v>
      </c>
      <c r="V133" s="66">
        <f t="shared" si="22"/>
        <v>0.70588235294117652</v>
      </c>
      <c r="W133" s="66">
        <f t="shared" si="23"/>
        <v>1.0823529411764761</v>
      </c>
      <c r="Z133" s="4">
        <f t="shared" si="24"/>
        <v>1</v>
      </c>
      <c r="AA133" s="4">
        <f t="shared" si="25"/>
        <v>0</v>
      </c>
      <c r="AB133" s="4">
        <f t="shared" si="26"/>
        <v>0</v>
      </c>
      <c r="AC133" s="63"/>
      <c r="AD133" s="63"/>
      <c r="AF133" s="63">
        <f>IF($M133&lt;$S133,1,0)</f>
        <v>0</v>
      </c>
      <c r="AG133" s="63">
        <f>IF($M133=$S133,1,0)</f>
        <v>1</v>
      </c>
      <c r="AH133" s="63">
        <f>IF($M133&gt;$S133,1,0)</f>
        <v>0</v>
      </c>
    </row>
    <row r="134" spans="1:34" x14ac:dyDescent="0.6">
      <c r="A134" s="6" t="s">
        <v>537</v>
      </c>
      <c r="B134" s="24">
        <v>15</v>
      </c>
      <c r="C134" s="13" t="s">
        <v>973</v>
      </c>
      <c r="D134" s="13" t="s">
        <v>976</v>
      </c>
      <c r="E134" s="13" t="s">
        <v>982</v>
      </c>
      <c r="F134" s="10">
        <v>3</v>
      </c>
      <c r="G134" s="43" t="str">
        <f t="shared" si="18"/>
        <v>15_20-30_5-10_40-60</v>
      </c>
      <c r="H134">
        <v>431</v>
      </c>
      <c r="I134">
        <v>434</v>
      </c>
      <c r="J134" s="22">
        <v>3600.02</v>
      </c>
      <c r="K134" s="66">
        <f t="shared" si="19"/>
        <v>0.6960556844547563</v>
      </c>
      <c r="L134" s="10"/>
      <c r="M134" s="1">
        <v>434</v>
      </c>
      <c r="N134" s="1">
        <v>434</v>
      </c>
      <c r="O134" s="62">
        <v>1.51</v>
      </c>
      <c r="P134" s="66">
        <f t="shared" si="20"/>
        <v>0.6960556844547563</v>
      </c>
      <c r="Q134" s="66">
        <f t="shared" si="21"/>
        <v>0.6960556844547563</v>
      </c>
      <c r="S134">
        <v>437</v>
      </c>
      <c r="T134">
        <v>437.6</v>
      </c>
      <c r="U134" s="17">
        <v>3.8954464199999999</v>
      </c>
      <c r="V134" s="66">
        <f t="shared" si="22"/>
        <v>1.3921113689095126</v>
      </c>
      <c r="W134" s="66">
        <f t="shared" si="23"/>
        <v>1.5313225058004694</v>
      </c>
      <c r="Z134" s="4">
        <f t="shared" si="24"/>
        <v>0</v>
      </c>
      <c r="AA134" s="4">
        <f t="shared" si="25"/>
        <v>1</v>
      </c>
      <c r="AB134" s="4">
        <f t="shared" si="26"/>
        <v>0</v>
      </c>
      <c r="AC134" s="63"/>
      <c r="AD134" s="63"/>
      <c r="AF134" s="63">
        <f>IF($M134&lt;$S134,1,0)</f>
        <v>1</v>
      </c>
      <c r="AG134" s="63">
        <f>IF($M134=$S134,1,0)</f>
        <v>0</v>
      </c>
      <c r="AH134" s="63">
        <f>IF($M134&gt;$S134,1,0)</f>
        <v>0</v>
      </c>
    </row>
    <row r="135" spans="1:34" x14ac:dyDescent="0.6">
      <c r="A135" s="6" t="s">
        <v>538</v>
      </c>
      <c r="B135" s="24">
        <v>15</v>
      </c>
      <c r="C135" s="13" t="s">
        <v>973</v>
      </c>
      <c r="D135" s="13" t="s">
        <v>976</v>
      </c>
      <c r="E135" s="13" t="s">
        <v>982</v>
      </c>
      <c r="F135" s="10">
        <v>4</v>
      </c>
      <c r="G135" s="43" t="str">
        <f t="shared" si="18"/>
        <v>15_20-30_5-10_40-60</v>
      </c>
      <c r="H135">
        <v>441</v>
      </c>
      <c r="I135">
        <v>446</v>
      </c>
      <c r="J135" s="22">
        <v>3600.02</v>
      </c>
      <c r="K135" s="66">
        <f t="shared" si="19"/>
        <v>1.1337868480725624</v>
      </c>
      <c r="L135" s="10"/>
      <c r="M135" s="1">
        <v>446</v>
      </c>
      <c r="N135" s="1">
        <v>446</v>
      </c>
      <c r="O135" s="62">
        <v>1.51</v>
      </c>
      <c r="P135" s="66">
        <f t="shared" si="20"/>
        <v>1.1337868480725624</v>
      </c>
      <c r="Q135" s="66">
        <f t="shared" si="21"/>
        <v>1.1337868480725624</v>
      </c>
      <c r="S135">
        <v>447</v>
      </c>
      <c r="T135">
        <v>450.2</v>
      </c>
      <c r="U135" s="17">
        <v>4.0676790599999997</v>
      </c>
      <c r="V135" s="66">
        <f t="shared" si="22"/>
        <v>1.3605442176870748</v>
      </c>
      <c r="W135" s="66">
        <f t="shared" si="23"/>
        <v>2.086167800453512</v>
      </c>
      <c r="Z135" s="4">
        <f t="shared" si="24"/>
        <v>0</v>
      </c>
      <c r="AA135" s="4">
        <f t="shared" si="25"/>
        <v>1</v>
      </c>
      <c r="AB135" s="4">
        <f t="shared" si="26"/>
        <v>0</v>
      </c>
      <c r="AC135" s="63"/>
      <c r="AD135" s="63"/>
      <c r="AF135" s="63">
        <f>IF($M135&lt;$S135,1,0)</f>
        <v>1</v>
      </c>
      <c r="AG135" s="63">
        <f>IF($M135=$S135,1,0)</f>
        <v>0</v>
      </c>
      <c r="AH135" s="63">
        <f>IF($M135&gt;$S135,1,0)</f>
        <v>0</v>
      </c>
    </row>
    <row r="136" spans="1:34" x14ac:dyDescent="0.6">
      <c r="A136" s="6" t="s">
        <v>539</v>
      </c>
      <c r="B136" s="24">
        <v>15</v>
      </c>
      <c r="C136" s="13" t="s">
        <v>973</v>
      </c>
      <c r="D136" s="13" t="s">
        <v>976</v>
      </c>
      <c r="E136" s="13" t="s">
        <v>982</v>
      </c>
      <c r="F136" s="10">
        <v>5</v>
      </c>
      <c r="G136" s="43" t="str">
        <f t="shared" si="18"/>
        <v>15_20-30_5-10_40-60</v>
      </c>
      <c r="H136">
        <v>428</v>
      </c>
      <c r="I136">
        <v>432</v>
      </c>
      <c r="J136" s="22">
        <v>3600.03</v>
      </c>
      <c r="K136" s="66">
        <f t="shared" si="19"/>
        <v>0.93457943925233633</v>
      </c>
      <c r="L136" s="10"/>
      <c r="M136" s="1">
        <v>432</v>
      </c>
      <c r="N136" s="1">
        <v>432</v>
      </c>
      <c r="O136" s="62">
        <v>1.51</v>
      </c>
      <c r="P136" s="66">
        <f t="shared" si="20"/>
        <v>0.93457943925233633</v>
      </c>
      <c r="Q136" s="66">
        <f t="shared" si="21"/>
        <v>0.93457943925233633</v>
      </c>
      <c r="S136">
        <v>433</v>
      </c>
      <c r="T136">
        <v>435.6</v>
      </c>
      <c r="U136" s="17">
        <v>4.4463043200000003</v>
      </c>
      <c r="V136" s="66">
        <f t="shared" si="22"/>
        <v>1.1682242990654206</v>
      </c>
      <c r="W136" s="66">
        <f t="shared" si="23"/>
        <v>1.7757009345794446</v>
      </c>
      <c r="Z136" s="4">
        <f t="shared" si="24"/>
        <v>0</v>
      </c>
      <c r="AA136" s="4">
        <f t="shared" si="25"/>
        <v>1</v>
      </c>
      <c r="AB136" s="4">
        <f t="shared" si="26"/>
        <v>0</v>
      </c>
      <c r="AC136" s="63"/>
      <c r="AD136" s="63"/>
      <c r="AF136" s="63">
        <f>IF($M136&lt;$S136,1,0)</f>
        <v>1</v>
      </c>
      <c r="AG136" s="63">
        <f>IF($M136=$S136,1,0)</f>
        <v>0</v>
      </c>
      <c r="AH136" s="63">
        <f>IF($M136&gt;$S136,1,0)</f>
        <v>0</v>
      </c>
    </row>
    <row r="137" spans="1:34" x14ac:dyDescent="0.6">
      <c r="A137" s="6" t="s">
        <v>540</v>
      </c>
      <c r="B137" s="24">
        <v>15</v>
      </c>
      <c r="C137" s="13" t="s">
        <v>973</v>
      </c>
      <c r="D137" s="13" t="s">
        <v>976</v>
      </c>
      <c r="E137" s="13" t="s">
        <v>982</v>
      </c>
      <c r="F137" s="10">
        <v>6</v>
      </c>
      <c r="G137" s="43" t="str">
        <f t="shared" si="18"/>
        <v>15_20-30_5-10_40-60</v>
      </c>
      <c r="H137">
        <v>459</v>
      </c>
      <c r="I137">
        <v>463</v>
      </c>
      <c r="J137" s="22">
        <v>3600.02</v>
      </c>
      <c r="K137" s="66">
        <f t="shared" si="19"/>
        <v>0.8714596949891068</v>
      </c>
      <c r="L137" s="10"/>
      <c r="M137" s="1">
        <v>462</v>
      </c>
      <c r="N137" s="1">
        <v>462</v>
      </c>
      <c r="O137" s="62">
        <v>1.51</v>
      </c>
      <c r="P137" s="66">
        <f t="shared" si="20"/>
        <v>0.65359477124183007</v>
      </c>
      <c r="Q137" s="66">
        <f t="shared" si="21"/>
        <v>0.65359477124183007</v>
      </c>
      <c r="S137">
        <v>463</v>
      </c>
      <c r="T137">
        <v>464</v>
      </c>
      <c r="U137" s="17">
        <v>4.4138515199999997</v>
      </c>
      <c r="V137" s="66">
        <f t="shared" si="22"/>
        <v>0.8714596949891068</v>
      </c>
      <c r="W137" s="66">
        <f t="shared" si="23"/>
        <v>1.0893246187363834</v>
      </c>
      <c r="Z137" s="4">
        <f t="shared" si="24"/>
        <v>1</v>
      </c>
      <c r="AA137" s="4">
        <f t="shared" si="25"/>
        <v>0</v>
      </c>
      <c r="AB137" s="4">
        <f t="shared" si="26"/>
        <v>0</v>
      </c>
      <c r="AC137" s="63"/>
      <c r="AD137" s="63"/>
      <c r="AF137" s="63">
        <f>IF($M137&lt;$S137,1,0)</f>
        <v>1</v>
      </c>
      <c r="AG137" s="63">
        <f>IF($M137=$S137,1,0)</f>
        <v>0</v>
      </c>
      <c r="AH137" s="63">
        <f>IF($M137&gt;$S137,1,0)</f>
        <v>0</v>
      </c>
    </row>
    <row r="138" spans="1:34" x14ac:dyDescent="0.6">
      <c r="A138" s="6" t="s">
        <v>541</v>
      </c>
      <c r="B138" s="24">
        <v>15</v>
      </c>
      <c r="C138" s="13" t="s">
        <v>973</v>
      </c>
      <c r="D138" s="13" t="s">
        <v>976</v>
      </c>
      <c r="E138" s="13" t="s">
        <v>982</v>
      </c>
      <c r="F138" s="10">
        <v>7</v>
      </c>
      <c r="G138" s="43" t="str">
        <f t="shared" si="18"/>
        <v>15_20-30_5-10_40-60</v>
      </c>
      <c r="H138">
        <v>447</v>
      </c>
      <c r="I138">
        <v>448</v>
      </c>
      <c r="J138" s="22">
        <v>3600.01</v>
      </c>
      <c r="K138" s="66">
        <f t="shared" si="19"/>
        <v>0.22371364653243847</v>
      </c>
      <c r="L138" s="10"/>
      <c r="M138" s="1">
        <v>448</v>
      </c>
      <c r="N138" s="1">
        <v>448</v>
      </c>
      <c r="O138" s="62">
        <v>1.51</v>
      </c>
      <c r="P138" s="66">
        <f t="shared" si="20"/>
        <v>0.22371364653243847</v>
      </c>
      <c r="Q138" s="66">
        <f t="shared" si="21"/>
        <v>0.22371364653243847</v>
      </c>
      <c r="S138">
        <v>448</v>
      </c>
      <c r="T138">
        <v>451.8</v>
      </c>
      <c r="U138" s="17">
        <v>4.2724517400000002</v>
      </c>
      <c r="V138" s="66">
        <f t="shared" si="22"/>
        <v>0.22371364653243847</v>
      </c>
      <c r="W138" s="66">
        <f t="shared" si="23"/>
        <v>1.0738255033557071</v>
      </c>
      <c r="Z138" s="4">
        <f t="shared" si="24"/>
        <v>0</v>
      </c>
      <c r="AA138" s="4">
        <f t="shared" si="25"/>
        <v>1</v>
      </c>
      <c r="AB138" s="4">
        <f t="shared" si="26"/>
        <v>0</v>
      </c>
      <c r="AC138" s="63"/>
      <c r="AD138" s="63"/>
      <c r="AF138" s="63">
        <f>IF($M138&lt;$S138,1,0)</f>
        <v>0</v>
      </c>
      <c r="AG138" s="63">
        <f>IF($M138=$S138,1,0)</f>
        <v>1</v>
      </c>
      <c r="AH138" s="63">
        <f>IF($M138&gt;$S138,1,0)</f>
        <v>0</v>
      </c>
    </row>
    <row r="139" spans="1:34" x14ac:dyDescent="0.6">
      <c r="A139" s="6" t="s">
        <v>542</v>
      </c>
      <c r="B139" s="24">
        <v>15</v>
      </c>
      <c r="C139" s="13" t="s">
        <v>973</v>
      </c>
      <c r="D139" s="13" t="s">
        <v>976</v>
      </c>
      <c r="E139" s="13" t="s">
        <v>982</v>
      </c>
      <c r="F139" s="10">
        <v>8</v>
      </c>
      <c r="G139" s="43" t="str">
        <f t="shared" si="18"/>
        <v>15_20-30_5-10_40-60</v>
      </c>
      <c r="H139">
        <v>438</v>
      </c>
      <c r="I139">
        <v>444</v>
      </c>
      <c r="J139" s="22">
        <v>3600.03</v>
      </c>
      <c r="K139" s="66">
        <f t="shared" si="19"/>
        <v>1.3698630136986301</v>
      </c>
      <c r="L139" s="10"/>
      <c r="M139" s="1">
        <v>444</v>
      </c>
      <c r="N139" s="1">
        <v>444</v>
      </c>
      <c r="O139" s="62">
        <v>1.51</v>
      </c>
      <c r="P139" s="66">
        <f t="shared" si="20"/>
        <v>1.3698630136986301</v>
      </c>
      <c r="Q139" s="66">
        <f t="shared" si="21"/>
        <v>1.3698630136986301</v>
      </c>
      <c r="S139">
        <v>446</v>
      </c>
      <c r="T139">
        <v>446.4</v>
      </c>
      <c r="U139" s="17">
        <v>4.3984167000000003</v>
      </c>
      <c r="V139" s="66">
        <f t="shared" si="22"/>
        <v>1.8264840182648401</v>
      </c>
      <c r="W139" s="66">
        <f t="shared" si="23"/>
        <v>1.917808219178077</v>
      </c>
      <c r="Z139" s="4">
        <f t="shared" si="24"/>
        <v>0</v>
      </c>
      <c r="AA139" s="4">
        <f t="shared" si="25"/>
        <v>1</v>
      </c>
      <c r="AB139" s="4">
        <f t="shared" si="26"/>
        <v>0</v>
      </c>
      <c r="AC139" s="63"/>
      <c r="AD139" s="63"/>
      <c r="AF139" s="63">
        <f>IF($M139&lt;$S139,1,0)</f>
        <v>1</v>
      </c>
      <c r="AG139" s="63">
        <f>IF($M139=$S139,1,0)</f>
        <v>0</v>
      </c>
      <c r="AH139" s="63">
        <f>IF($M139&gt;$S139,1,0)</f>
        <v>0</v>
      </c>
    </row>
    <row r="140" spans="1:34" x14ac:dyDescent="0.6">
      <c r="A140" s="6" t="s">
        <v>543</v>
      </c>
      <c r="B140" s="24">
        <v>15</v>
      </c>
      <c r="C140" s="13" t="s">
        <v>973</v>
      </c>
      <c r="D140" s="13" t="s">
        <v>976</v>
      </c>
      <c r="E140" s="13" t="s">
        <v>982</v>
      </c>
      <c r="F140" s="10">
        <v>9</v>
      </c>
      <c r="G140" s="43" t="str">
        <f t="shared" si="18"/>
        <v>15_20-30_5-10_40-60</v>
      </c>
      <c r="H140">
        <v>437</v>
      </c>
      <c r="I140">
        <v>440</v>
      </c>
      <c r="J140" s="22">
        <v>3600.01</v>
      </c>
      <c r="K140" s="66">
        <f t="shared" si="19"/>
        <v>0.68649885583524028</v>
      </c>
      <c r="L140" s="10"/>
      <c r="M140" s="1">
        <v>440</v>
      </c>
      <c r="N140" s="1">
        <v>440</v>
      </c>
      <c r="O140" s="62">
        <v>1.51</v>
      </c>
      <c r="P140" s="66">
        <f t="shared" si="20"/>
        <v>0.68649885583524028</v>
      </c>
      <c r="Q140" s="66">
        <f t="shared" si="21"/>
        <v>0.68649885583524028</v>
      </c>
      <c r="S140">
        <v>440</v>
      </c>
      <c r="T140">
        <v>442.4</v>
      </c>
      <c r="U140" s="17">
        <v>3.9232310199999998</v>
      </c>
      <c r="V140" s="66">
        <f t="shared" si="22"/>
        <v>0.68649885583524028</v>
      </c>
      <c r="W140" s="66">
        <f t="shared" si="23"/>
        <v>1.2356979405034272</v>
      </c>
      <c r="Z140" s="4">
        <f t="shared" si="24"/>
        <v>0</v>
      </c>
      <c r="AA140" s="4">
        <f t="shared" si="25"/>
        <v>1</v>
      </c>
      <c r="AB140" s="4">
        <f t="shared" si="26"/>
        <v>0</v>
      </c>
      <c r="AC140" s="63"/>
      <c r="AD140" s="63"/>
      <c r="AF140" s="63">
        <f>IF($M140&lt;$S140,1,0)</f>
        <v>0</v>
      </c>
      <c r="AG140" s="63">
        <f>IF($M140=$S140,1,0)</f>
        <v>1</v>
      </c>
      <c r="AH140" s="63">
        <f>IF($M140&gt;$S140,1,0)</f>
        <v>0</v>
      </c>
    </row>
    <row r="141" spans="1:34" x14ac:dyDescent="0.6">
      <c r="A141" s="6" t="s">
        <v>544</v>
      </c>
      <c r="B141" s="24">
        <v>15</v>
      </c>
      <c r="C141" s="13" t="s">
        <v>973</v>
      </c>
      <c r="D141" s="13" t="s">
        <v>976</v>
      </c>
      <c r="E141" s="13" t="s">
        <v>982</v>
      </c>
      <c r="F141" s="10">
        <v>10</v>
      </c>
      <c r="G141" s="43" t="str">
        <f t="shared" si="18"/>
        <v>15_20-30_5-10_40-60</v>
      </c>
      <c r="H141">
        <v>454</v>
      </c>
      <c r="I141">
        <v>456</v>
      </c>
      <c r="J141" s="22">
        <v>3600.03</v>
      </c>
      <c r="K141" s="66">
        <f t="shared" si="19"/>
        <v>0.44052863436123352</v>
      </c>
      <c r="L141" s="10"/>
      <c r="M141" s="1">
        <v>456</v>
      </c>
      <c r="N141" s="1">
        <v>456</v>
      </c>
      <c r="O141" s="62">
        <v>1.51</v>
      </c>
      <c r="P141" s="66">
        <f t="shared" si="20"/>
        <v>0.44052863436123352</v>
      </c>
      <c r="Q141" s="66">
        <f t="shared" si="21"/>
        <v>0.44052863436123352</v>
      </c>
      <c r="S141">
        <v>459</v>
      </c>
      <c r="T141">
        <v>461</v>
      </c>
      <c r="U141" s="17">
        <v>3.8895127600000001</v>
      </c>
      <c r="V141" s="66">
        <f t="shared" si="22"/>
        <v>1.1013215859030838</v>
      </c>
      <c r="W141" s="66">
        <f t="shared" si="23"/>
        <v>1.5418502202643172</v>
      </c>
      <c r="Z141" s="4">
        <f t="shared" si="24"/>
        <v>0</v>
      </c>
      <c r="AA141" s="4">
        <f t="shared" si="25"/>
        <v>1</v>
      </c>
      <c r="AB141" s="4">
        <f t="shared" si="26"/>
        <v>0</v>
      </c>
      <c r="AC141" s="63"/>
      <c r="AD141" s="63"/>
      <c r="AF141" s="63">
        <f>IF($M141&lt;$S141,1,0)</f>
        <v>1</v>
      </c>
      <c r="AG141" s="63">
        <f>IF($M141=$S141,1,0)</f>
        <v>0</v>
      </c>
      <c r="AH141" s="63">
        <f>IF($M141&gt;$S141,1,0)</f>
        <v>0</v>
      </c>
    </row>
    <row r="142" spans="1:34" x14ac:dyDescent="0.6">
      <c r="A142" s="6" t="s">
        <v>545</v>
      </c>
      <c r="B142" s="24">
        <v>15</v>
      </c>
      <c r="C142" s="13" t="s">
        <v>973</v>
      </c>
      <c r="D142" s="13" t="s">
        <v>979</v>
      </c>
      <c r="E142" s="13" t="s">
        <v>981</v>
      </c>
      <c r="F142" s="10">
        <v>1</v>
      </c>
      <c r="G142" s="43" t="str">
        <f t="shared" si="18"/>
        <v>15_20-30_10-15_20-40</v>
      </c>
      <c r="H142">
        <v>503</v>
      </c>
      <c r="I142">
        <v>505</v>
      </c>
      <c r="J142" s="22">
        <v>3600.02</v>
      </c>
      <c r="K142" s="66">
        <f t="shared" si="19"/>
        <v>0.39761431411530812</v>
      </c>
      <c r="L142" s="10"/>
      <c r="M142" s="1">
        <v>505</v>
      </c>
      <c r="N142" s="1">
        <v>505</v>
      </c>
      <c r="O142" s="62">
        <v>1.51</v>
      </c>
      <c r="P142" s="66">
        <f t="shared" si="20"/>
        <v>0.39761431411530812</v>
      </c>
      <c r="Q142" s="66">
        <f t="shared" si="21"/>
        <v>0.39761431411530812</v>
      </c>
      <c r="S142">
        <v>505</v>
      </c>
      <c r="T142">
        <v>507</v>
      </c>
      <c r="U142" s="17">
        <v>3.9011101799999999</v>
      </c>
      <c r="V142" s="66">
        <f t="shared" si="22"/>
        <v>0.39761431411530812</v>
      </c>
      <c r="W142" s="66">
        <f t="shared" si="23"/>
        <v>0.79522862823061624</v>
      </c>
      <c r="Z142" s="4">
        <f t="shared" si="24"/>
        <v>0</v>
      </c>
      <c r="AA142" s="4">
        <f t="shared" si="25"/>
        <v>1</v>
      </c>
      <c r="AB142" s="4">
        <f t="shared" si="26"/>
        <v>0</v>
      </c>
      <c r="AC142" s="63"/>
      <c r="AD142" s="63"/>
      <c r="AF142" s="63">
        <f>IF($M142&lt;$S142,1,0)</f>
        <v>0</v>
      </c>
      <c r="AG142" s="63">
        <f>IF($M142=$S142,1,0)</f>
        <v>1</v>
      </c>
      <c r="AH142" s="63">
        <f>IF($M142&gt;$S142,1,0)</f>
        <v>0</v>
      </c>
    </row>
    <row r="143" spans="1:34" x14ac:dyDescent="0.6">
      <c r="A143" s="6" t="s">
        <v>546</v>
      </c>
      <c r="B143" s="24">
        <v>15</v>
      </c>
      <c r="C143" s="13" t="s">
        <v>973</v>
      </c>
      <c r="D143" s="13" t="s">
        <v>979</v>
      </c>
      <c r="E143" s="13" t="s">
        <v>981</v>
      </c>
      <c r="F143" s="10">
        <v>2</v>
      </c>
      <c r="G143" s="43" t="str">
        <f t="shared" si="18"/>
        <v>15_20-30_10-15_20-40</v>
      </c>
      <c r="H143">
        <v>495</v>
      </c>
      <c r="I143">
        <v>497</v>
      </c>
      <c r="J143" s="22">
        <v>3600.03</v>
      </c>
      <c r="K143" s="66">
        <f t="shared" si="19"/>
        <v>0.40404040404040403</v>
      </c>
      <c r="L143" s="10"/>
      <c r="M143" s="1">
        <v>497</v>
      </c>
      <c r="N143" s="1">
        <v>497</v>
      </c>
      <c r="O143" s="62">
        <v>1.51</v>
      </c>
      <c r="P143" s="66">
        <f t="shared" si="20"/>
        <v>0.40404040404040403</v>
      </c>
      <c r="Q143" s="66">
        <f t="shared" si="21"/>
        <v>0.40404040404040403</v>
      </c>
      <c r="S143">
        <v>498</v>
      </c>
      <c r="T143">
        <v>498.8</v>
      </c>
      <c r="U143" s="17">
        <v>3.9788997400000001</v>
      </c>
      <c r="V143" s="66">
        <f t="shared" si="22"/>
        <v>0.60606060606060608</v>
      </c>
      <c r="W143" s="66">
        <f t="shared" si="23"/>
        <v>0.76767676767676996</v>
      </c>
      <c r="Z143" s="4">
        <f t="shared" si="24"/>
        <v>0</v>
      </c>
      <c r="AA143" s="4">
        <f t="shared" si="25"/>
        <v>1</v>
      </c>
      <c r="AB143" s="4">
        <f t="shared" si="26"/>
        <v>0</v>
      </c>
      <c r="AC143" s="63"/>
      <c r="AD143" s="63"/>
      <c r="AF143" s="63">
        <f>IF($M143&lt;$S143,1,0)</f>
        <v>1</v>
      </c>
      <c r="AG143" s="63">
        <f>IF($M143=$S143,1,0)</f>
        <v>0</v>
      </c>
      <c r="AH143" s="63">
        <f>IF($M143&gt;$S143,1,0)</f>
        <v>0</v>
      </c>
    </row>
    <row r="144" spans="1:34" x14ac:dyDescent="0.6">
      <c r="A144" s="6" t="s">
        <v>547</v>
      </c>
      <c r="B144" s="24">
        <v>15</v>
      </c>
      <c r="C144" s="13" t="s">
        <v>973</v>
      </c>
      <c r="D144" s="13" t="s">
        <v>978</v>
      </c>
      <c r="E144" s="13" t="s">
        <v>980</v>
      </c>
      <c r="F144" s="10">
        <v>3</v>
      </c>
      <c r="G144" s="43" t="str">
        <f t="shared" si="18"/>
        <v>15_20-30_10-15_20-40</v>
      </c>
      <c r="H144">
        <v>501</v>
      </c>
      <c r="I144">
        <v>503</v>
      </c>
      <c r="J144" s="22">
        <v>3600.02</v>
      </c>
      <c r="K144" s="66">
        <f t="shared" si="19"/>
        <v>0.39920159680638717</v>
      </c>
      <c r="L144" s="10"/>
      <c r="M144" s="1">
        <v>503</v>
      </c>
      <c r="N144" s="1">
        <v>503</v>
      </c>
      <c r="O144" s="62">
        <v>1.51</v>
      </c>
      <c r="P144" s="66">
        <f t="shared" si="20"/>
        <v>0.39920159680638717</v>
      </c>
      <c r="Q144" s="66">
        <f t="shared" si="21"/>
        <v>0.39920159680638717</v>
      </c>
      <c r="S144">
        <v>503</v>
      </c>
      <c r="T144">
        <v>505</v>
      </c>
      <c r="U144" s="17">
        <v>3.8484632599999999</v>
      </c>
      <c r="V144" s="66">
        <f t="shared" si="22"/>
        <v>0.39920159680638717</v>
      </c>
      <c r="W144" s="66">
        <f t="shared" si="23"/>
        <v>0.79840319361277434</v>
      </c>
      <c r="Z144" s="4">
        <f t="shared" si="24"/>
        <v>0</v>
      </c>
      <c r="AA144" s="4">
        <f t="shared" si="25"/>
        <v>1</v>
      </c>
      <c r="AB144" s="4">
        <f t="shared" si="26"/>
        <v>0</v>
      </c>
      <c r="AC144" s="63"/>
      <c r="AD144" s="63"/>
      <c r="AF144" s="63">
        <f>IF($M144&lt;$S144,1,0)</f>
        <v>0</v>
      </c>
      <c r="AG144" s="63">
        <f>IF($M144=$S144,1,0)</f>
        <v>1</v>
      </c>
      <c r="AH144" s="63">
        <f>IF($M144&gt;$S144,1,0)</f>
        <v>0</v>
      </c>
    </row>
    <row r="145" spans="1:34" x14ac:dyDescent="0.6">
      <c r="A145" s="6" t="s">
        <v>548</v>
      </c>
      <c r="B145" s="24">
        <v>15</v>
      </c>
      <c r="C145" s="13" t="s">
        <v>973</v>
      </c>
      <c r="D145" s="13" t="s">
        <v>978</v>
      </c>
      <c r="E145" s="13" t="s">
        <v>980</v>
      </c>
      <c r="F145" s="10">
        <v>4</v>
      </c>
      <c r="G145" s="43" t="str">
        <f t="shared" si="18"/>
        <v>15_20-30_10-15_20-40</v>
      </c>
      <c r="H145">
        <v>511</v>
      </c>
      <c r="I145">
        <v>516</v>
      </c>
      <c r="J145" s="22">
        <v>3600.02</v>
      </c>
      <c r="K145" s="66">
        <f t="shared" si="19"/>
        <v>0.97847358121330719</v>
      </c>
      <c r="L145" s="10"/>
      <c r="M145" s="1">
        <v>516</v>
      </c>
      <c r="N145" s="1">
        <v>516</v>
      </c>
      <c r="O145" s="62">
        <v>1.51</v>
      </c>
      <c r="P145" s="66">
        <f t="shared" si="20"/>
        <v>0.97847358121330719</v>
      </c>
      <c r="Q145" s="66">
        <f t="shared" si="21"/>
        <v>0.97847358121330719</v>
      </c>
      <c r="S145">
        <v>517</v>
      </c>
      <c r="T145">
        <v>518.6</v>
      </c>
      <c r="U145" s="17">
        <v>4.1718378600000001</v>
      </c>
      <c r="V145" s="66">
        <f t="shared" si="22"/>
        <v>1.1741682974559686</v>
      </c>
      <c r="W145" s="66">
        <f t="shared" si="23"/>
        <v>1.4872798434442316</v>
      </c>
      <c r="Z145" s="4">
        <f t="shared" si="24"/>
        <v>0</v>
      </c>
      <c r="AA145" s="4">
        <f t="shared" si="25"/>
        <v>1</v>
      </c>
      <c r="AB145" s="4">
        <f t="shared" si="26"/>
        <v>0</v>
      </c>
      <c r="AC145" s="63"/>
      <c r="AD145" s="63"/>
      <c r="AF145" s="63">
        <f>IF($M145&lt;$S145,1,0)</f>
        <v>1</v>
      </c>
      <c r="AG145" s="63">
        <f>IF($M145=$S145,1,0)</f>
        <v>0</v>
      </c>
      <c r="AH145" s="63">
        <f>IF($M145&gt;$S145,1,0)</f>
        <v>0</v>
      </c>
    </row>
    <row r="146" spans="1:34" x14ac:dyDescent="0.6">
      <c r="A146" s="6" t="s">
        <v>549</v>
      </c>
      <c r="B146" s="24">
        <v>15</v>
      </c>
      <c r="C146" s="13" t="s">
        <v>973</v>
      </c>
      <c r="D146" s="13" t="s">
        <v>978</v>
      </c>
      <c r="E146" s="13" t="s">
        <v>980</v>
      </c>
      <c r="F146" s="10">
        <v>5</v>
      </c>
      <c r="G146" s="43" t="str">
        <f t="shared" si="18"/>
        <v>15_20-30_10-15_20-40</v>
      </c>
      <c r="H146">
        <v>498</v>
      </c>
      <c r="I146">
        <v>501</v>
      </c>
      <c r="J146" s="22">
        <v>3600.03</v>
      </c>
      <c r="K146" s="66">
        <f t="shared" si="19"/>
        <v>0.60240963855421692</v>
      </c>
      <c r="L146" s="10"/>
      <c r="M146" s="1">
        <v>501</v>
      </c>
      <c r="N146" s="1">
        <v>501</v>
      </c>
      <c r="O146" s="62">
        <v>1.51</v>
      </c>
      <c r="P146" s="66">
        <f t="shared" si="20"/>
        <v>0.60240963855421692</v>
      </c>
      <c r="Q146" s="66">
        <f t="shared" si="21"/>
        <v>0.60240963855421692</v>
      </c>
      <c r="S146">
        <v>502</v>
      </c>
      <c r="T146">
        <v>503</v>
      </c>
      <c r="U146" s="17">
        <v>4.4243855999999999</v>
      </c>
      <c r="V146" s="66">
        <f t="shared" si="22"/>
        <v>0.80321285140562237</v>
      </c>
      <c r="W146" s="66">
        <f t="shared" si="23"/>
        <v>1.0040160642570282</v>
      </c>
      <c r="Z146" s="4">
        <f t="shared" si="24"/>
        <v>0</v>
      </c>
      <c r="AA146" s="4">
        <f t="shared" si="25"/>
        <v>1</v>
      </c>
      <c r="AB146" s="4">
        <f t="shared" si="26"/>
        <v>0</v>
      </c>
      <c r="AC146" s="63"/>
      <c r="AD146" s="63"/>
      <c r="AF146" s="63">
        <f>IF($M146&lt;$S146,1,0)</f>
        <v>1</v>
      </c>
      <c r="AG146" s="63">
        <f>IF($M146=$S146,1,0)</f>
        <v>0</v>
      </c>
      <c r="AH146" s="63">
        <f>IF($M146&gt;$S146,1,0)</f>
        <v>0</v>
      </c>
    </row>
    <row r="147" spans="1:34" x14ac:dyDescent="0.6">
      <c r="A147" s="6" t="s">
        <v>550</v>
      </c>
      <c r="B147" s="24">
        <v>15</v>
      </c>
      <c r="C147" s="13" t="s">
        <v>973</v>
      </c>
      <c r="D147" s="13" t="s">
        <v>978</v>
      </c>
      <c r="E147" s="13" t="s">
        <v>980</v>
      </c>
      <c r="F147" s="10">
        <v>6</v>
      </c>
      <c r="G147" s="43" t="str">
        <f t="shared" si="18"/>
        <v>15_20-30_10-15_20-40</v>
      </c>
      <c r="H147">
        <v>529</v>
      </c>
      <c r="I147">
        <v>531</v>
      </c>
      <c r="J147" s="22">
        <v>3600.01</v>
      </c>
      <c r="K147" s="66">
        <f t="shared" si="19"/>
        <v>0.3780718336483932</v>
      </c>
      <c r="L147" s="10"/>
      <c r="M147" s="1">
        <v>530</v>
      </c>
      <c r="N147" s="1">
        <v>530</v>
      </c>
      <c r="O147" s="62">
        <v>1.51</v>
      </c>
      <c r="P147" s="66">
        <f t="shared" si="20"/>
        <v>0.1890359168241966</v>
      </c>
      <c r="Q147" s="66">
        <f t="shared" si="21"/>
        <v>0.1890359168241966</v>
      </c>
      <c r="S147">
        <v>530</v>
      </c>
      <c r="T147">
        <v>532.79999999999995</v>
      </c>
      <c r="U147" s="17">
        <v>4.2177993999999996</v>
      </c>
      <c r="V147" s="66">
        <f t="shared" si="22"/>
        <v>0.1890359168241966</v>
      </c>
      <c r="W147" s="66">
        <f t="shared" si="23"/>
        <v>0.7183364839319385</v>
      </c>
      <c r="Z147" s="4">
        <f t="shared" si="24"/>
        <v>1</v>
      </c>
      <c r="AA147" s="4">
        <f t="shared" si="25"/>
        <v>0</v>
      </c>
      <c r="AB147" s="4">
        <f t="shared" si="26"/>
        <v>0</v>
      </c>
      <c r="AC147" s="63"/>
      <c r="AD147" s="63"/>
      <c r="AF147" s="63">
        <f>IF($M147&lt;$S147,1,0)</f>
        <v>0</v>
      </c>
      <c r="AG147" s="63">
        <f>IF($M147=$S147,1,0)</f>
        <v>1</v>
      </c>
      <c r="AH147" s="63">
        <f>IF($M147&gt;$S147,1,0)</f>
        <v>0</v>
      </c>
    </row>
    <row r="148" spans="1:34" x14ac:dyDescent="0.6">
      <c r="A148" s="6" t="s">
        <v>551</v>
      </c>
      <c r="B148" s="24">
        <v>15</v>
      </c>
      <c r="C148" s="13" t="s">
        <v>973</v>
      </c>
      <c r="D148" s="13" t="s">
        <v>978</v>
      </c>
      <c r="E148" s="13" t="s">
        <v>980</v>
      </c>
      <c r="F148" s="10">
        <v>7</v>
      </c>
      <c r="G148" s="43" t="str">
        <f t="shared" si="18"/>
        <v>15_20-30_10-15_20-40</v>
      </c>
      <c r="H148">
        <v>517</v>
      </c>
      <c r="I148">
        <v>518</v>
      </c>
      <c r="J148" s="22">
        <v>3600.03</v>
      </c>
      <c r="K148" s="66">
        <f t="shared" si="19"/>
        <v>0.19342359767891684</v>
      </c>
      <c r="L148" s="10"/>
      <c r="M148" s="1">
        <v>518</v>
      </c>
      <c r="N148" s="1">
        <v>518</v>
      </c>
      <c r="O148" s="62">
        <v>1.51</v>
      </c>
      <c r="P148" s="66">
        <f t="shared" si="20"/>
        <v>0.19342359767891684</v>
      </c>
      <c r="Q148" s="66">
        <f t="shared" si="21"/>
        <v>0.19342359767891684</v>
      </c>
      <c r="S148">
        <v>519</v>
      </c>
      <c r="T148">
        <v>521.6</v>
      </c>
      <c r="U148" s="17">
        <v>4.2137073599999999</v>
      </c>
      <c r="V148" s="66">
        <f t="shared" si="22"/>
        <v>0.38684719535783368</v>
      </c>
      <c r="W148" s="66">
        <f t="shared" si="23"/>
        <v>0.88974854932302172</v>
      </c>
      <c r="Z148" s="4">
        <f t="shared" si="24"/>
        <v>0</v>
      </c>
      <c r="AA148" s="4">
        <f t="shared" si="25"/>
        <v>1</v>
      </c>
      <c r="AB148" s="4">
        <f t="shared" si="26"/>
        <v>0</v>
      </c>
      <c r="AC148" s="63"/>
      <c r="AD148" s="63"/>
      <c r="AF148" s="63">
        <f>IF($M148&lt;$S148,1,0)</f>
        <v>1</v>
      </c>
      <c r="AG148" s="63">
        <f>IF($M148=$S148,1,0)</f>
        <v>0</v>
      </c>
      <c r="AH148" s="63">
        <f>IF($M148&gt;$S148,1,0)</f>
        <v>0</v>
      </c>
    </row>
    <row r="149" spans="1:34" x14ac:dyDescent="0.6">
      <c r="A149" s="6" t="s">
        <v>552</v>
      </c>
      <c r="B149" s="24">
        <v>15</v>
      </c>
      <c r="C149" s="13" t="s">
        <v>973</v>
      </c>
      <c r="D149" s="13" t="s">
        <v>978</v>
      </c>
      <c r="E149" s="13" t="s">
        <v>980</v>
      </c>
      <c r="F149" s="10">
        <v>8</v>
      </c>
      <c r="G149" s="43" t="str">
        <f t="shared" si="18"/>
        <v>15_20-30_10-15_20-40</v>
      </c>
      <c r="H149">
        <v>508</v>
      </c>
      <c r="I149">
        <v>513</v>
      </c>
      <c r="J149" s="22">
        <v>3600.01</v>
      </c>
      <c r="K149" s="66">
        <f t="shared" si="19"/>
        <v>0.98425196850393704</v>
      </c>
      <c r="L149" s="10"/>
      <c r="M149" s="1">
        <v>513</v>
      </c>
      <c r="N149" s="1">
        <v>513</v>
      </c>
      <c r="O149" s="62">
        <v>1.5</v>
      </c>
      <c r="P149" s="66">
        <f t="shared" si="20"/>
        <v>0.98425196850393704</v>
      </c>
      <c r="Q149" s="66">
        <f t="shared" si="21"/>
        <v>0.98425196850393704</v>
      </c>
      <c r="S149">
        <v>513</v>
      </c>
      <c r="T149">
        <v>515.20000000000005</v>
      </c>
      <c r="U149" s="17">
        <v>4.2761674999999997</v>
      </c>
      <c r="V149" s="66">
        <f t="shared" si="22"/>
        <v>0.98425196850393704</v>
      </c>
      <c r="W149" s="66">
        <f t="shared" si="23"/>
        <v>1.4173228346456783</v>
      </c>
      <c r="Z149" s="4">
        <f t="shared" si="24"/>
        <v>0</v>
      </c>
      <c r="AA149" s="4">
        <f t="shared" si="25"/>
        <v>1</v>
      </c>
      <c r="AB149" s="4">
        <f t="shared" si="26"/>
        <v>0</v>
      </c>
      <c r="AC149" s="63"/>
      <c r="AD149" s="63"/>
      <c r="AF149" s="63">
        <f>IF($M149&lt;$S149,1,0)</f>
        <v>0</v>
      </c>
      <c r="AG149" s="63">
        <f>IF($M149=$S149,1,0)</f>
        <v>1</v>
      </c>
      <c r="AH149" s="63">
        <f>IF($M149&gt;$S149,1,0)</f>
        <v>0</v>
      </c>
    </row>
    <row r="150" spans="1:34" x14ac:dyDescent="0.6">
      <c r="A150" s="6" t="s">
        <v>553</v>
      </c>
      <c r="B150" s="24">
        <v>15</v>
      </c>
      <c r="C150" s="13" t="s">
        <v>973</v>
      </c>
      <c r="D150" s="13" t="s">
        <v>978</v>
      </c>
      <c r="E150" s="13" t="s">
        <v>980</v>
      </c>
      <c r="F150" s="10">
        <v>9</v>
      </c>
      <c r="G150" s="43" t="str">
        <f t="shared" si="18"/>
        <v>15_20-30_10-15_20-40</v>
      </c>
      <c r="H150">
        <v>507</v>
      </c>
      <c r="I150">
        <v>510</v>
      </c>
      <c r="J150" s="22">
        <v>3600.02</v>
      </c>
      <c r="K150" s="66">
        <f t="shared" si="19"/>
        <v>0.59171597633136097</v>
      </c>
      <c r="L150" s="10"/>
      <c r="M150" s="1">
        <v>510</v>
      </c>
      <c r="N150" s="1">
        <v>510</v>
      </c>
      <c r="O150" s="62">
        <v>1.51</v>
      </c>
      <c r="P150" s="66">
        <f t="shared" si="20"/>
        <v>0.59171597633136097</v>
      </c>
      <c r="Q150" s="66">
        <f t="shared" si="21"/>
        <v>0.59171597633136097</v>
      </c>
      <c r="S150">
        <v>510</v>
      </c>
      <c r="T150">
        <v>512.20000000000005</v>
      </c>
      <c r="U150" s="17">
        <v>3.9098161400000002</v>
      </c>
      <c r="V150" s="66">
        <f t="shared" si="22"/>
        <v>0.59171597633136097</v>
      </c>
      <c r="W150" s="66">
        <f t="shared" si="23"/>
        <v>1.0256410256410347</v>
      </c>
      <c r="Z150" s="4">
        <f t="shared" si="24"/>
        <v>0</v>
      </c>
      <c r="AA150" s="4">
        <f t="shared" si="25"/>
        <v>1</v>
      </c>
      <c r="AB150" s="4">
        <f t="shared" si="26"/>
        <v>0</v>
      </c>
      <c r="AC150" s="63"/>
      <c r="AD150" s="63"/>
      <c r="AF150" s="63">
        <f>IF($M150&lt;$S150,1,0)</f>
        <v>0</v>
      </c>
      <c r="AG150" s="63">
        <f>IF($M150=$S150,1,0)</f>
        <v>1</v>
      </c>
      <c r="AH150" s="63">
        <f>IF($M150&gt;$S150,1,0)</f>
        <v>0</v>
      </c>
    </row>
    <row r="151" spans="1:34" x14ac:dyDescent="0.6">
      <c r="A151" s="6" t="s">
        <v>554</v>
      </c>
      <c r="B151" s="24">
        <v>15</v>
      </c>
      <c r="C151" s="13" t="s">
        <v>973</v>
      </c>
      <c r="D151" s="13" t="s">
        <v>978</v>
      </c>
      <c r="E151" s="13" t="s">
        <v>980</v>
      </c>
      <c r="F151" s="10">
        <v>10</v>
      </c>
      <c r="G151" s="43" t="str">
        <f t="shared" si="18"/>
        <v>15_20-30_10-15_20-40</v>
      </c>
      <c r="H151">
        <v>524</v>
      </c>
      <c r="I151">
        <v>526</v>
      </c>
      <c r="J151" s="22">
        <v>3600.02</v>
      </c>
      <c r="K151" s="66">
        <f t="shared" si="19"/>
        <v>0.38167938931297707</v>
      </c>
      <c r="L151" s="10"/>
      <c r="M151" s="1">
        <v>526</v>
      </c>
      <c r="N151" s="1">
        <v>526</v>
      </c>
      <c r="O151" s="62">
        <v>1.51</v>
      </c>
      <c r="P151" s="66">
        <f t="shared" si="20"/>
        <v>0.38167938931297707</v>
      </c>
      <c r="Q151" s="66">
        <f t="shared" si="21"/>
        <v>0.38167938931297707</v>
      </c>
      <c r="S151">
        <v>527</v>
      </c>
      <c r="T151">
        <v>529.4</v>
      </c>
      <c r="U151" s="17">
        <v>3.8173968999999999</v>
      </c>
      <c r="V151" s="66">
        <f t="shared" si="22"/>
        <v>0.5725190839694656</v>
      </c>
      <c r="W151" s="66">
        <f t="shared" si="23"/>
        <v>1.0305343511450338</v>
      </c>
      <c r="Z151" s="4">
        <f t="shared" si="24"/>
        <v>0</v>
      </c>
      <c r="AA151" s="4">
        <f t="shared" si="25"/>
        <v>1</v>
      </c>
      <c r="AB151" s="4">
        <f t="shared" si="26"/>
        <v>0</v>
      </c>
      <c r="AC151" s="63"/>
      <c r="AD151" s="63"/>
      <c r="AF151" s="63">
        <f>IF($M151&lt;$S151,1,0)</f>
        <v>1</v>
      </c>
      <c r="AG151" s="63">
        <f>IF($M151=$S151,1,0)</f>
        <v>0</v>
      </c>
      <c r="AH151" s="63">
        <f>IF($M151&gt;$S151,1,0)</f>
        <v>0</v>
      </c>
    </row>
    <row r="152" spans="1:34" x14ac:dyDescent="0.6">
      <c r="A152" s="6" t="s">
        <v>555</v>
      </c>
      <c r="B152" s="24">
        <v>15</v>
      </c>
      <c r="C152" s="13" t="s">
        <v>973</v>
      </c>
      <c r="D152" s="13" t="s">
        <v>978</v>
      </c>
      <c r="E152" s="13" t="s">
        <v>984</v>
      </c>
      <c r="F152" s="10">
        <v>1</v>
      </c>
      <c r="G152" s="43" t="str">
        <f t="shared" si="18"/>
        <v>15_20-30_10-15_40-60</v>
      </c>
      <c r="H152">
        <v>503</v>
      </c>
      <c r="I152">
        <v>505</v>
      </c>
      <c r="J152" s="22">
        <v>3600.02</v>
      </c>
      <c r="K152" s="66">
        <f t="shared" si="19"/>
        <v>0.39761431411530812</v>
      </c>
      <c r="L152" s="10"/>
      <c r="M152" s="1">
        <v>505</v>
      </c>
      <c r="N152" s="1">
        <v>505</v>
      </c>
      <c r="O152" s="62">
        <v>1.51</v>
      </c>
      <c r="P152" s="66">
        <f t="shared" si="20"/>
        <v>0.39761431411530812</v>
      </c>
      <c r="Q152" s="66">
        <f t="shared" si="21"/>
        <v>0.39761431411530812</v>
      </c>
      <c r="S152">
        <v>505</v>
      </c>
      <c r="T152">
        <v>507</v>
      </c>
      <c r="U152" s="17">
        <v>3.81811284</v>
      </c>
      <c r="V152" s="66">
        <f t="shared" si="22"/>
        <v>0.39761431411530812</v>
      </c>
      <c r="W152" s="66">
        <f t="shared" si="23"/>
        <v>0.79522862823061624</v>
      </c>
      <c r="Z152" s="4">
        <f t="shared" si="24"/>
        <v>0</v>
      </c>
      <c r="AA152" s="4">
        <f t="shared" si="25"/>
        <v>1</v>
      </c>
      <c r="AB152" s="4">
        <f t="shared" si="26"/>
        <v>0</v>
      </c>
      <c r="AC152" s="63"/>
      <c r="AD152" s="63"/>
      <c r="AF152" s="63">
        <f>IF($M152&lt;$S152,1,0)</f>
        <v>0</v>
      </c>
      <c r="AG152" s="63">
        <f>IF($M152=$S152,1,0)</f>
        <v>1</v>
      </c>
      <c r="AH152" s="63">
        <f>IF($M152&gt;$S152,1,0)</f>
        <v>0</v>
      </c>
    </row>
    <row r="153" spans="1:34" x14ac:dyDescent="0.6">
      <c r="A153" s="6" t="s">
        <v>556</v>
      </c>
      <c r="B153" s="24">
        <v>15</v>
      </c>
      <c r="C153" s="13" t="s">
        <v>973</v>
      </c>
      <c r="D153" s="13" t="s">
        <v>978</v>
      </c>
      <c r="E153" s="13" t="s">
        <v>984</v>
      </c>
      <c r="F153" s="10">
        <v>2</v>
      </c>
      <c r="G153" s="43" t="str">
        <f t="shared" si="18"/>
        <v>15_20-30_10-15_40-60</v>
      </c>
      <c r="H153">
        <v>495</v>
      </c>
      <c r="I153">
        <v>498</v>
      </c>
      <c r="J153" s="22">
        <v>3600.03</v>
      </c>
      <c r="K153" s="66">
        <f t="shared" si="19"/>
        <v>0.60606060606060608</v>
      </c>
      <c r="L153" s="10"/>
      <c r="M153" s="1">
        <v>498</v>
      </c>
      <c r="N153" s="1">
        <v>498</v>
      </c>
      <c r="O153" s="62">
        <v>1.51</v>
      </c>
      <c r="P153" s="66">
        <f t="shared" si="20"/>
        <v>0.60606060606060608</v>
      </c>
      <c r="Q153" s="66">
        <f t="shared" si="21"/>
        <v>0.60606060606060608</v>
      </c>
      <c r="S153">
        <v>498</v>
      </c>
      <c r="T153">
        <v>500.4</v>
      </c>
      <c r="U153" s="17">
        <v>3.9161662599999998</v>
      </c>
      <c r="V153" s="66">
        <f t="shared" si="22"/>
        <v>0.60606060606060608</v>
      </c>
      <c r="W153" s="66">
        <f t="shared" si="23"/>
        <v>1.0909090909090864</v>
      </c>
      <c r="Z153" s="4">
        <f t="shared" si="24"/>
        <v>0</v>
      </c>
      <c r="AA153" s="4">
        <f t="shared" si="25"/>
        <v>1</v>
      </c>
      <c r="AB153" s="4">
        <f t="shared" si="26"/>
        <v>0</v>
      </c>
      <c r="AC153" s="63"/>
      <c r="AD153" s="63"/>
      <c r="AF153" s="63">
        <f>IF($M153&lt;$S153,1,0)</f>
        <v>0</v>
      </c>
      <c r="AG153" s="63">
        <f>IF($M153=$S153,1,0)</f>
        <v>1</v>
      </c>
      <c r="AH153" s="63">
        <f>IF($M153&gt;$S153,1,0)</f>
        <v>0</v>
      </c>
    </row>
    <row r="154" spans="1:34" x14ac:dyDescent="0.6">
      <c r="A154" s="6" t="s">
        <v>557</v>
      </c>
      <c r="B154" s="24">
        <v>15</v>
      </c>
      <c r="C154" s="13" t="s">
        <v>973</v>
      </c>
      <c r="D154" s="13" t="s">
        <v>978</v>
      </c>
      <c r="E154" s="13" t="s">
        <v>982</v>
      </c>
      <c r="F154" s="10">
        <v>3</v>
      </c>
      <c r="G154" s="43" t="str">
        <f t="shared" si="18"/>
        <v>15_20-30_10-15_40-60</v>
      </c>
      <c r="H154">
        <v>501</v>
      </c>
      <c r="I154">
        <v>504</v>
      </c>
      <c r="J154" s="22">
        <v>3600.02</v>
      </c>
      <c r="K154" s="66">
        <f t="shared" si="19"/>
        <v>0.5988023952095809</v>
      </c>
      <c r="L154" s="10"/>
      <c r="M154" s="1">
        <v>504</v>
      </c>
      <c r="N154" s="1">
        <v>504</v>
      </c>
      <c r="O154" s="62">
        <v>1.51</v>
      </c>
      <c r="P154" s="66">
        <f t="shared" si="20"/>
        <v>0.5988023952095809</v>
      </c>
      <c r="Q154" s="66">
        <f t="shared" si="21"/>
        <v>0.5988023952095809</v>
      </c>
      <c r="S154">
        <v>504</v>
      </c>
      <c r="T154">
        <v>505.6</v>
      </c>
      <c r="U154" s="17">
        <v>3.8960123800000002</v>
      </c>
      <c r="V154" s="66">
        <f t="shared" si="22"/>
        <v>0.5988023952095809</v>
      </c>
      <c r="W154" s="66">
        <f t="shared" si="23"/>
        <v>0.91816367265469512</v>
      </c>
      <c r="Z154" s="4">
        <f t="shared" si="24"/>
        <v>0</v>
      </c>
      <c r="AA154" s="4">
        <f t="shared" si="25"/>
        <v>1</v>
      </c>
      <c r="AB154" s="4">
        <f t="shared" si="26"/>
        <v>0</v>
      </c>
      <c r="AC154" s="63"/>
      <c r="AD154" s="63"/>
      <c r="AF154" s="63">
        <f>IF($M154&lt;$S154,1,0)</f>
        <v>0</v>
      </c>
      <c r="AG154" s="63">
        <f>IF($M154=$S154,1,0)</f>
        <v>1</v>
      </c>
      <c r="AH154" s="63">
        <f>IF($M154&gt;$S154,1,0)</f>
        <v>0</v>
      </c>
    </row>
    <row r="155" spans="1:34" x14ac:dyDescent="0.6">
      <c r="A155" s="6" t="s">
        <v>558</v>
      </c>
      <c r="B155" s="24">
        <v>15</v>
      </c>
      <c r="C155" s="13" t="s">
        <v>973</v>
      </c>
      <c r="D155" s="13" t="s">
        <v>978</v>
      </c>
      <c r="E155" s="13" t="s">
        <v>982</v>
      </c>
      <c r="F155" s="10">
        <v>4</v>
      </c>
      <c r="G155" s="43" t="str">
        <f t="shared" si="18"/>
        <v>15_20-30_10-15_40-60</v>
      </c>
      <c r="H155">
        <v>511</v>
      </c>
      <c r="I155">
        <v>516</v>
      </c>
      <c r="J155" s="22">
        <v>3600.02</v>
      </c>
      <c r="K155" s="66">
        <f t="shared" si="19"/>
        <v>0.97847358121330719</v>
      </c>
      <c r="L155" s="10"/>
      <c r="M155" s="1">
        <v>516</v>
      </c>
      <c r="N155" s="1">
        <v>516</v>
      </c>
      <c r="O155" s="62">
        <v>1.5</v>
      </c>
      <c r="P155" s="66">
        <f t="shared" si="20"/>
        <v>0.97847358121330719</v>
      </c>
      <c r="Q155" s="66">
        <f t="shared" si="21"/>
        <v>0.97847358121330719</v>
      </c>
      <c r="S155">
        <v>517</v>
      </c>
      <c r="T155">
        <v>519.79999999999995</v>
      </c>
      <c r="U155" s="17">
        <v>4.0487735999999996</v>
      </c>
      <c r="V155" s="66">
        <f t="shared" si="22"/>
        <v>1.1741682974559686</v>
      </c>
      <c r="W155" s="66">
        <f t="shared" si="23"/>
        <v>1.7221135029354118</v>
      </c>
      <c r="Z155" s="4">
        <f t="shared" si="24"/>
        <v>0</v>
      </c>
      <c r="AA155" s="4">
        <f t="shared" si="25"/>
        <v>1</v>
      </c>
      <c r="AB155" s="4">
        <f t="shared" si="26"/>
        <v>0</v>
      </c>
      <c r="AC155" s="63"/>
      <c r="AD155" s="63"/>
      <c r="AF155" s="63">
        <f>IF($M155&lt;$S155,1,0)</f>
        <v>1</v>
      </c>
      <c r="AG155" s="63">
        <f>IF($M155=$S155,1,0)</f>
        <v>0</v>
      </c>
      <c r="AH155" s="63">
        <f>IF($M155&gt;$S155,1,0)</f>
        <v>0</v>
      </c>
    </row>
    <row r="156" spans="1:34" x14ac:dyDescent="0.6">
      <c r="A156" s="6" t="s">
        <v>559</v>
      </c>
      <c r="B156" s="24">
        <v>15</v>
      </c>
      <c r="C156" s="13" t="s">
        <v>973</v>
      </c>
      <c r="D156" s="13" t="s">
        <v>978</v>
      </c>
      <c r="E156" s="13" t="s">
        <v>982</v>
      </c>
      <c r="F156" s="10">
        <v>5</v>
      </c>
      <c r="G156" s="43" t="str">
        <f t="shared" si="18"/>
        <v>15_20-30_10-15_40-60</v>
      </c>
      <c r="H156">
        <v>498</v>
      </c>
      <c r="I156">
        <v>502</v>
      </c>
      <c r="J156" s="22">
        <v>3600.02</v>
      </c>
      <c r="K156" s="66">
        <f t="shared" si="19"/>
        <v>0.80321285140562237</v>
      </c>
      <c r="L156" s="10"/>
      <c r="M156" s="1">
        <v>502</v>
      </c>
      <c r="N156" s="1">
        <v>502</v>
      </c>
      <c r="O156" s="62">
        <v>1.5</v>
      </c>
      <c r="P156" s="66">
        <f t="shared" si="20"/>
        <v>0.80321285140562237</v>
      </c>
      <c r="Q156" s="66">
        <f t="shared" si="21"/>
        <v>0.80321285140562237</v>
      </c>
      <c r="S156">
        <v>502</v>
      </c>
      <c r="T156">
        <v>504.6</v>
      </c>
      <c r="U156" s="17">
        <v>4.5035765999999997</v>
      </c>
      <c r="V156" s="66">
        <f t="shared" si="22"/>
        <v>0.80321285140562237</v>
      </c>
      <c r="W156" s="66">
        <f t="shared" si="23"/>
        <v>1.3253012048192818</v>
      </c>
      <c r="Z156" s="4">
        <f t="shared" si="24"/>
        <v>0</v>
      </c>
      <c r="AA156" s="4">
        <f t="shared" si="25"/>
        <v>1</v>
      </c>
      <c r="AB156" s="4">
        <f t="shared" si="26"/>
        <v>0</v>
      </c>
      <c r="AC156" s="63"/>
      <c r="AD156" s="63"/>
      <c r="AF156" s="63">
        <f>IF($M156&lt;$S156,1,0)</f>
        <v>0</v>
      </c>
      <c r="AG156" s="63">
        <f>IF($M156=$S156,1,0)</f>
        <v>1</v>
      </c>
      <c r="AH156" s="63">
        <f>IF($M156&gt;$S156,1,0)</f>
        <v>0</v>
      </c>
    </row>
    <row r="157" spans="1:34" x14ac:dyDescent="0.6">
      <c r="A157" s="6" t="s">
        <v>560</v>
      </c>
      <c r="B157" s="24">
        <v>15</v>
      </c>
      <c r="C157" s="13" t="s">
        <v>973</v>
      </c>
      <c r="D157" s="13" t="s">
        <v>978</v>
      </c>
      <c r="E157" s="13" t="s">
        <v>982</v>
      </c>
      <c r="F157" s="10">
        <v>6</v>
      </c>
      <c r="G157" s="43" t="str">
        <f t="shared" si="18"/>
        <v>15_20-30_10-15_40-60</v>
      </c>
      <c r="H157">
        <v>529</v>
      </c>
      <c r="I157">
        <v>531</v>
      </c>
      <c r="J157" s="22">
        <v>3600.02</v>
      </c>
      <c r="K157" s="66">
        <f t="shared" si="19"/>
        <v>0.3780718336483932</v>
      </c>
      <c r="L157" s="10"/>
      <c r="M157" s="1">
        <v>531</v>
      </c>
      <c r="N157" s="1">
        <v>531</v>
      </c>
      <c r="O157" s="62">
        <v>1.51</v>
      </c>
      <c r="P157" s="66">
        <f t="shared" si="20"/>
        <v>0.3780718336483932</v>
      </c>
      <c r="Q157" s="66">
        <f t="shared" si="21"/>
        <v>0.3780718336483932</v>
      </c>
      <c r="S157">
        <v>532</v>
      </c>
      <c r="T157">
        <v>533.79999999999995</v>
      </c>
      <c r="U157" s="17">
        <v>4.27774126</v>
      </c>
      <c r="V157" s="66">
        <f t="shared" si="22"/>
        <v>0.56710775047258988</v>
      </c>
      <c r="W157" s="66">
        <f t="shared" si="23"/>
        <v>0.90737240075613512</v>
      </c>
      <c r="Z157" s="4">
        <f t="shared" si="24"/>
        <v>0</v>
      </c>
      <c r="AA157" s="4">
        <f t="shared" si="25"/>
        <v>1</v>
      </c>
      <c r="AB157" s="4">
        <f t="shared" si="26"/>
        <v>0</v>
      </c>
      <c r="AC157" s="63"/>
      <c r="AD157" s="63"/>
      <c r="AF157" s="63">
        <f>IF($M157&lt;$S157,1,0)</f>
        <v>1</v>
      </c>
      <c r="AG157" s="63">
        <f>IF($M157=$S157,1,0)</f>
        <v>0</v>
      </c>
      <c r="AH157" s="63">
        <f>IF($M157&gt;$S157,1,0)</f>
        <v>0</v>
      </c>
    </row>
    <row r="158" spans="1:34" x14ac:dyDescent="0.6">
      <c r="A158" s="6" t="s">
        <v>561</v>
      </c>
      <c r="B158" s="24">
        <v>15</v>
      </c>
      <c r="C158" s="13" t="s">
        <v>973</v>
      </c>
      <c r="D158" s="13" t="s">
        <v>978</v>
      </c>
      <c r="E158" s="13" t="s">
        <v>982</v>
      </c>
      <c r="F158" s="10">
        <v>7</v>
      </c>
      <c r="G158" s="43" t="str">
        <f t="shared" si="18"/>
        <v>15_20-30_10-15_40-60</v>
      </c>
      <c r="H158">
        <v>517</v>
      </c>
      <c r="I158">
        <v>518</v>
      </c>
      <c r="J158" s="22">
        <v>3600.02</v>
      </c>
      <c r="K158" s="66">
        <f t="shared" si="19"/>
        <v>0.19342359767891684</v>
      </c>
      <c r="L158" s="10"/>
      <c r="M158" s="1">
        <v>518</v>
      </c>
      <c r="N158" s="1">
        <v>518</v>
      </c>
      <c r="O158" s="62">
        <v>1.51</v>
      </c>
      <c r="P158" s="66">
        <f t="shared" si="20"/>
        <v>0.19342359767891684</v>
      </c>
      <c r="Q158" s="66">
        <f t="shared" si="21"/>
        <v>0.19342359767891684</v>
      </c>
      <c r="S158">
        <v>518</v>
      </c>
      <c r="T158">
        <v>520.20000000000005</v>
      </c>
      <c r="U158" s="17">
        <v>4.0990750800000004</v>
      </c>
      <c r="V158" s="66">
        <f t="shared" si="22"/>
        <v>0.19342359767891684</v>
      </c>
      <c r="W158" s="66">
        <f t="shared" si="23"/>
        <v>0.61895551257254267</v>
      </c>
      <c r="Z158" s="4">
        <f t="shared" si="24"/>
        <v>0</v>
      </c>
      <c r="AA158" s="4">
        <f t="shared" si="25"/>
        <v>1</v>
      </c>
      <c r="AB158" s="4">
        <f t="shared" si="26"/>
        <v>0</v>
      </c>
      <c r="AC158" s="63"/>
      <c r="AD158" s="63"/>
      <c r="AF158" s="63">
        <f>IF($M158&lt;$S158,1,0)</f>
        <v>0</v>
      </c>
      <c r="AG158" s="63">
        <f>IF($M158=$S158,1,0)</f>
        <v>1</v>
      </c>
      <c r="AH158" s="63">
        <f>IF($M158&gt;$S158,1,0)</f>
        <v>0</v>
      </c>
    </row>
    <row r="159" spans="1:34" x14ac:dyDescent="0.6">
      <c r="A159" s="6" t="s">
        <v>562</v>
      </c>
      <c r="B159" s="24">
        <v>15</v>
      </c>
      <c r="C159" s="13" t="s">
        <v>973</v>
      </c>
      <c r="D159" s="13" t="s">
        <v>978</v>
      </c>
      <c r="E159" s="13" t="s">
        <v>982</v>
      </c>
      <c r="F159" s="10">
        <v>8</v>
      </c>
      <c r="G159" s="43" t="str">
        <f t="shared" si="18"/>
        <v>15_20-30_10-15_40-60</v>
      </c>
      <c r="H159">
        <v>508</v>
      </c>
      <c r="I159">
        <v>514</v>
      </c>
      <c r="J159" s="22">
        <v>3600.02</v>
      </c>
      <c r="K159" s="66">
        <f t="shared" si="19"/>
        <v>1.1811023622047243</v>
      </c>
      <c r="L159" s="10"/>
      <c r="M159" s="1">
        <v>514</v>
      </c>
      <c r="N159" s="1">
        <v>514</v>
      </c>
      <c r="O159" s="62">
        <v>1.51</v>
      </c>
      <c r="P159" s="66">
        <f t="shared" si="20"/>
        <v>1.1811023622047243</v>
      </c>
      <c r="Q159" s="66">
        <f t="shared" si="21"/>
        <v>1.1811023622047243</v>
      </c>
      <c r="S159">
        <v>516</v>
      </c>
      <c r="T159">
        <v>517.20000000000005</v>
      </c>
      <c r="U159" s="17">
        <v>4.2697588800000004</v>
      </c>
      <c r="V159" s="66">
        <f t="shared" si="22"/>
        <v>1.5748031496062991</v>
      </c>
      <c r="W159" s="66">
        <f t="shared" si="23"/>
        <v>1.8110236220472531</v>
      </c>
      <c r="Z159" s="4">
        <f t="shared" si="24"/>
        <v>0</v>
      </c>
      <c r="AA159" s="4">
        <f t="shared" si="25"/>
        <v>1</v>
      </c>
      <c r="AB159" s="4">
        <f t="shared" si="26"/>
        <v>0</v>
      </c>
      <c r="AC159" s="63"/>
      <c r="AD159" s="63"/>
      <c r="AF159" s="63">
        <f>IF($M159&lt;$S159,1,0)</f>
        <v>1</v>
      </c>
      <c r="AG159" s="63">
        <f>IF($M159=$S159,1,0)</f>
        <v>0</v>
      </c>
      <c r="AH159" s="63">
        <f>IF($M159&gt;$S159,1,0)</f>
        <v>0</v>
      </c>
    </row>
    <row r="160" spans="1:34" x14ac:dyDescent="0.6">
      <c r="A160" s="6" t="s">
        <v>563</v>
      </c>
      <c r="B160" s="24">
        <v>15</v>
      </c>
      <c r="C160" s="13" t="s">
        <v>973</v>
      </c>
      <c r="D160" s="13" t="s">
        <v>978</v>
      </c>
      <c r="E160" s="13" t="s">
        <v>982</v>
      </c>
      <c r="F160" s="10">
        <v>9</v>
      </c>
      <c r="G160" s="43" t="str">
        <f t="shared" si="18"/>
        <v>15_20-30_10-15_40-60</v>
      </c>
      <c r="H160">
        <v>507</v>
      </c>
      <c r="I160">
        <v>510</v>
      </c>
      <c r="J160" s="22">
        <v>3600.04</v>
      </c>
      <c r="K160" s="66">
        <f t="shared" si="19"/>
        <v>0.59171597633136097</v>
      </c>
      <c r="L160" s="10"/>
      <c r="M160" s="1">
        <v>510</v>
      </c>
      <c r="N160" s="1">
        <v>510</v>
      </c>
      <c r="O160" s="62">
        <v>1.51</v>
      </c>
      <c r="P160" s="66">
        <f t="shared" si="20"/>
        <v>0.59171597633136097</v>
      </c>
      <c r="Q160" s="66">
        <f t="shared" si="21"/>
        <v>0.59171597633136097</v>
      </c>
      <c r="S160">
        <v>510</v>
      </c>
      <c r="T160">
        <v>511.4</v>
      </c>
      <c r="U160" s="17">
        <v>3.88878922</v>
      </c>
      <c r="V160" s="66">
        <f t="shared" si="22"/>
        <v>0.59171597633136097</v>
      </c>
      <c r="W160" s="66">
        <f t="shared" si="23"/>
        <v>0.86785009861932494</v>
      </c>
      <c r="Z160" s="4">
        <f t="shared" si="24"/>
        <v>0</v>
      </c>
      <c r="AA160" s="4">
        <f t="shared" si="25"/>
        <v>1</v>
      </c>
      <c r="AB160" s="4">
        <f t="shared" si="26"/>
        <v>0</v>
      </c>
      <c r="AC160" s="63"/>
      <c r="AD160" s="63"/>
      <c r="AF160" s="63">
        <f>IF($M160&lt;$S160,1,0)</f>
        <v>0</v>
      </c>
      <c r="AG160" s="63">
        <f>IF($M160=$S160,1,0)</f>
        <v>1</v>
      </c>
      <c r="AH160" s="63">
        <f>IF($M160&gt;$S160,1,0)</f>
        <v>0</v>
      </c>
    </row>
    <row r="161" spans="1:34" x14ac:dyDescent="0.6">
      <c r="A161" s="6" t="s">
        <v>564</v>
      </c>
      <c r="B161" s="24">
        <v>15</v>
      </c>
      <c r="C161" s="13" t="s">
        <v>973</v>
      </c>
      <c r="D161" s="13" t="s">
        <v>978</v>
      </c>
      <c r="E161" s="13" t="s">
        <v>982</v>
      </c>
      <c r="F161" s="10">
        <v>10</v>
      </c>
      <c r="G161" s="43" t="str">
        <f t="shared" si="18"/>
        <v>15_20-30_10-15_40-60</v>
      </c>
      <c r="H161">
        <v>524</v>
      </c>
      <c r="I161">
        <v>526</v>
      </c>
      <c r="J161" s="22">
        <v>3600.03</v>
      </c>
      <c r="K161" s="66">
        <f t="shared" si="19"/>
        <v>0.38167938931297707</v>
      </c>
      <c r="L161" s="10"/>
      <c r="M161" s="1">
        <v>526</v>
      </c>
      <c r="N161" s="1">
        <v>526</v>
      </c>
      <c r="O161" s="62">
        <v>1.51</v>
      </c>
      <c r="P161" s="66">
        <f t="shared" si="20"/>
        <v>0.38167938931297707</v>
      </c>
      <c r="Q161" s="66">
        <f t="shared" si="21"/>
        <v>0.38167938931297707</v>
      </c>
      <c r="S161">
        <v>528</v>
      </c>
      <c r="T161">
        <v>529.79999999999995</v>
      </c>
      <c r="U161" s="17">
        <v>3.7423612999999998</v>
      </c>
      <c r="V161" s="66">
        <f t="shared" si="22"/>
        <v>0.76335877862595414</v>
      </c>
      <c r="W161" s="66">
        <f t="shared" si="23"/>
        <v>1.1068702290076249</v>
      </c>
      <c r="Z161" s="4">
        <f t="shared" si="24"/>
        <v>0</v>
      </c>
      <c r="AA161" s="4">
        <f t="shared" si="25"/>
        <v>1</v>
      </c>
      <c r="AB161" s="4">
        <f t="shared" si="26"/>
        <v>0</v>
      </c>
      <c r="AC161" s="63"/>
      <c r="AD161" s="63"/>
      <c r="AF161" s="63">
        <f>IF($M161&lt;$S161,1,0)</f>
        <v>1</v>
      </c>
      <c r="AG161" s="63">
        <f>IF($M161=$S161,1,0)</f>
        <v>0</v>
      </c>
      <c r="AH161" s="63">
        <f>IF($M161&gt;$S161,1,0)</f>
        <v>0</v>
      </c>
    </row>
    <row r="162" spans="1:34" x14ac:dyDescent="0.6">
      <c r="B162" s="26" t="s">
        <v>1012</v>
      </c>
      <c r="J162" s="65">
        <f>AVERAGE(J2:J161)</f>
        <v>1787.1754999999998</v>
      </c>
      <c r="K162" s="39">
        <f>AVERAGE(K2:K161)</f>
        <v>0.41191427019892685</v>
      </c>
      <c r="L162" s="65"/>
      <c r="M162" s="65"/>
      <c r="N162" s="65"/>
      <c r="O162" s="65">
        <f>AVERAGE(O2:O161)</f>
        <v>1.2586249999999986</v>
      </c>
      <c r="P162" s="39">
        <f>AVERAGE(P2:P161)</f>
        <v>0.39410823471080847</v>
      </c>
      <c r="Q162" s="39">
        <f>AVERAGE(Q2:Q161)</f>
        <v>0.39410823471080847</v>
      </c>
      <c r="R162" s="65"/>
      <c r="S162" s="65"/>
      <c r="T162" s="65"/>
      <c r="U162" s="65">
        <f>AVERAGE(U2:U161)</f>
        <v>3.7708666180000003</v>
      </c>
      <c r="V162" s="39">
        <f>AVERAGE(V2:V161)</f>
        <v>0.56576271786821064</v>
      </c>
      <c r="W162" s="39">
        <f>AVERAGE(W2:W161)</f>
        <v>1.0113067356967087</v>
      </c>
      <c r="X162" s="18"/>
      <c r="Y162" s="7"/>
      <c r="Z162" s="1">
        <f>SUM(Z2:Z161)</f>
        <v>8</v>
      </c>
      <c r="AA162" s="1">
        <f>SUM(AA2:AA161)</f>
        <v>152</v>
      </c>
      <c r="AB162" s="1">
        <f>SUM(AB2:AB161)</f>
        <v>0</v>
      </c>
      <c r="AC162" s="60"/>
      <c r="AD162" s="60"/>
      <c r="AF162" s="60">
        <f>SUM(AF2:AF161)</f>
        <v>58</v>
      </c>
      <c r="AG162" s="60">
        <f>SUM(AG2:AG161)</f>
        <v>102</v>
      </c>
      <c r="AH162" s="60">
        <f>SUM(AH2:AH161)</f>
        <v>0</v>
      </c>
    </row>
    <row r="164" spans="1:34" s="59" customFormat="1" x14ac:dyDescent="0.6">
      <c r="A164" s="6" t="s">
        <v>0</v>
      </c>
      <c r="B164" s="55" t="s">
        <v>969</v>
      </c>
      <c r="C164" s="14" t="s">
        <v>965</v>
      </c>
      <c r="D164" s="14" t="s">
        <v>966</v>
      </c>
      <c r="E164" s="14" t="s">
        <v>967</v>
      </c>
      <c r="F164" s="14" t="s">
        <v>968</v>
      </c>
      <c r="G164" s="14" t="s">
        <v>1016</v>
      </c>
      <c r="H164" s="23" t="s">
        <v>999</v>
      </c>
      <c r="I164" s="23" t="s">
        <v>1000</v>
      </c>
      <c r="J164" s="23" t="s">
        <v>1001</v>
      </c>
      <c r="K164" s="64" t="s">
        <v>1014</v>
      </c>
      <c r="L164" s="60"/>
      <c r="M164" s="63" t="s">
        <v>987</v>
      </c>
      <c r="N164" s="63" t="s">
        <v>988</v>
      </c>
      <c r="O164" s="64" t="s">
        <v>986</v>
      </c>
      <c r="P164" s="64" t="s">
        <v>1013</v>
      </c>
      <c r="Q164" s="64"/>
      <c r="R164" s="63"/>
      <c r="S164" s="63" t="s">
        <v>989</v>
      </c>
      <c r="T164" s="63" t="s">
        <v>990</v>
      </c>
      <c r="U164" s="16" t="s">
        <v>991</v>
      </c>
      <c r="V164" s="64" t="s">
        <v>1015</v>
      </c>
      <c r="W164" s="64"/>
      <c r="X164" s="16"/>
      <c r="Y164" s="19" t="s">
        <v>1002</v>
      </c>
      <c r="Z164" s="63" t="s">
        <v>395</v>
      </c>
      <c r="AA164" s="63" t="s">
        <v>396</v>
      </c>
      <c r="AB164" s="63" t="s">
        <v>397</v>
      </c>
      <c r="AC164" s="63"/>
      <c r="AD164" s="63"/>
      <c r="AE164" s="19" t="s">
        <v>992</v>
      </c>
      <c r="AF164" s="63" t="s">
        <v>395</v>
      </c>
      <c r="AG164" s="63" t="s">
        <v>396</v>
      </c>
      <c r="AH164" s="63" t="s">
        <v>397</v>
      </c>
    </row>
    <row r="165" spans="1:34" x14ac:dyDescent="0.6">
      <c r="B165" s="55" t="s">
        <v>969</v>
      </c>
      <c r="C165" s="14"/>
      <c r="D165" s="14"/>
      <c r="E165" s="14"/>
      <c r="F165" s="14"/>
      <c r="G165" s="14"/>
      <c r="H165" s="14"/>
      <c r="I165" s="14"/>
      <c r="J165" s="14"/>
    </row>
    <row r="166" spans="1:34" x14ac:dyDescent="0.6">
      <c r="B166" s="26">
        <v>10</v>
      </c>
      <c r="C166" s="20"/>
      <c r="D166" s="21"/>
      <c r="E166" s="21"/>
      <c r="J166" s="61">
        <f>AVERAGEIF($B$2:$B$161, $B166, J$2:J$161)</f>
        <v>4.3968749999999996</v>
      </c>
      <c r="K166" s="61">
        <f>AVERAGEIF($B$2:$B$161, $B166, K$2:K$161)</f>
        <v>0</v>
      </c>
      <c r="O166" s="61">
        <f>AVERAGEIF($B$2:$B$161, $B166, O$2:O$161)</f>
        <v>1.0080000000000005</v>
      </c>
      <c r="P166" s="61">
        <f>AVERAGEIF($B$2:$B$161, $B166, P$2:P$161)</f>
        <v>0</v>
      </c>
      <c r="Q166" s="61"/>
      <c r="U166" s="61">
        <f>AVERAGEIF($B$2:$B$161, $B166, U$2:U$161)</f>
        <v>3.4602238517500004</v>
      </c>
      <c r="V166" s="61">
        <f>AVERAGEIF($B$2:$B$161, $B166, V$2:V$161)</f>
        <v>7.099812616139399E-2</v>
      </c>
      <c r="W166" s="61"/>
    </row>
    <row r="167" spans="1:34" x14ac:dyDescent="0.6">
      <c r="B167" s="26">
        <v>15</v>
      </c>
      <c r="C167" s="21"/>
      <c r="D167" s="21"/>
      <c r="E167" s="21"/>
      <c r="J167" s="61">
        <f>AVERAGEIF($B$2:$B$161, $B167, J$2:J$161)</f>
        <v>3569.9541249999993</v>
      </c>
      <c r="K167" s="61">
        <f>AVERAGEIF($B$2:$B$161, $B167, K$2:K$161)</f>
        <v>0.82382854039785369</v>
      </c>
      <c r="O167" s="61">
        <f>AVERAGEIF($B$2:$B$161, $B167, O$2:O$161)</f>
        <v>1.5092500000000018</v>
      </c>
      <c r="P167" s="61">
        <f>AVERAGEIF($B$2:$B$161, $B167, P$2:P$161)</f>
        <v>0.78821646942161694</v>
      </c>
      <c r="Q167" s="61"/>
      <c r="U167" s="61">
        <f>AVERAGEIF($B$2:$B$161, $B167, U$2:U$161)</f>
        <v>4.0815093842499994</v>
      </c>
      <c r="V167" s="61">
        <f>AVERAGEIF($B$2:$B$161, $B167, V$2:V$161)</f>
        <v>1.0605273095750269</v>
      </c>
      <c r="W167" s="61"/>
    </row>
    <row r="168" spans="1:34" x14ac:dyDescent="0.6">
      <c r="O168" s="60"/>
      <c r="P168" s="62"/>
      <c r="U168" s="60"/>
    </row>
    <row r="169" spans="1:34" x14ac:dyDescent="0.6">
      <c r="B169" s="55" t="s">
        <v>965</v>
      </c>
      <c r="O169" s="60"/>
      <c r="P169" s="62"/>
      <c r="U169" s="60"/>
    </row>
    <row r="170" spans="1:34" x14ac:dyDescent="0.6">
      <c r="B170" s="28" t="s">
        <v>971</v>
      </c>
      <c r="J170" s="61">
        <f>AVERAGEIF($C$2:$C$161, $B170, J$2:J$161)</f>
        <v>1771.8605</v>
      </c>
      <c r="K170" s="61">
        <f>AVERAGEIF($C$2:$C$161, $B170, K$2:K$161)</f>
        <v>0.5068624341559359</v>
      </c>
      <c r="O170" s="61">
        <f>AVERAGEIF($C$2:$C$161, $B170, O$2:O$161)</f>
        <v>1.2585000000000011</v>
      </c>
      <c r="P170" s="61">
        <f>AVERAGEIF($C$2:$C$161, $B170, P$2:P$161)</f>
        <v>0.47927780015743082</v>
      </c>
      <c r="Q170" s="61"/>
      <c r="U170" s="61">
        <f>AVERAGEIF($C$2:$C$161, $B170, U$2:U$161)</f>
        <v>3.7662642672499977</v>
      </c>
      <c r="V170" s="61">
        <f>AVERAGEIF($C$2:$C$161, $B170, V$2:V$161)</f>
        <v>0.71351397332395849</v>
      </c>
      <c r="W170" s="61"/>
    </row>
    <row r="171" spans="1:34" x14ac:dyDescent="0.6">
      <c r="B171" s="29" t="s">
        <v>974</v>
      </c>
      <c r="J171" s="61">
        <f>AVERAGEIF($C$2:$C$161, $B171, J$2:J$161)</f>
        <v>1802.4905000000003</v>
      </c>
      <c r="K171" s="61">
        <f>AVERAGEIF($C$2:$C$161, $B171, K$2:K$161)</f>
        <v>0.31696610624191812</v>
      </c>
      <c r="O171" s="61">
        <f>AVERAGEIF($C$2:$C$161, $B171, O$2:O$161)</f>
        <v>1.2587500000000011</v>
      </c>
      <c r="P171" s="61">
        <f>AVERAGEIF($C$2:$C$161, $B171, P$2:P$161)</f>
        <v>0.30893866926418651</v>
      </c>
      <c r="Q171" s="61"/>
      <c r="U171" s="61">
        <f>AVERAGEIF($C$2:$C$161, $B171, U$2:U$161)</f>
        <v>3.7754689687500003</v>
      </c>
      <c r="V171" s="61">
        <f>AVERAGEIF($C$2:$C$161, $B171, V$2:V$161)</f>
        <v>0.4180114624124629</v>
      </c>
      <c r="W171" s="61"/>
    </row>
    <row r="172" spans="1:34" x14ac:dyDescent="0.6">
      <c r="O172" s="60"/>
      <c r="P172" s="62"/>
      <c r="U172" s="60"/>
    </row>
    <row r="173" spans="1:34" x14ac:dyDescent="0.6">
      <c r="B173" s="55" t="s">
        <v>966</v>
      </c>
      <c r="O173" s="60"/>
      <c r="P173" s="62"/>
      <c r="U173" s="60"/>
    </row>
    <row r="174" spans="1:34" x14ac:dyDescent="0.6">
      <c r="B174" s="29" t="s">
        <v>977</v>
      </c>
      <c r="J174" s="61">
        <f>AVERAGEIF($D$2:$D$161, $B174, J$2:J$161)</f>
        <v>1771.8532500000001</v>
      </c>
      <c r="K174" s="61">
        <f>AVERAGEIF($D$2:$D$161, $B174, K$2:K$161)</f>
        <v>0.46451492612998802</v>
      </c>
      <c r="O174" s="61">
        <f>AVERAGEIF($D$2:$D$161, $B174, O$2:O$161)</f>
        <v>1.2583750000000011</v>
      </c>
      <c r="P174" s="61">
        <f>AVERAGEIF($D$2:$D$161, $B174, P$2:P$161)</f>
        <v>0.44154719737181808</v>
      </c>
      <c r="Q174" s="61"/>
      <c r="U174" s="61">
        <f>AVERAGEIF($D$2:$D$161, $B174, U$2:U$161)</f>
        <v>3.7780381289999996</v>
      </c>
      <c r="V174" s="61">
        <f>AVERAGEIF($D$2:$D$161, $B174, V$2:V$161)</f>
        <v>0.66608819863756552</v>
      </c>
      <c r="W174" s="61"/>
    </row>
    <row r="175" spans="1:34" x14ac:dyDescent="0.6">
      <c r="B175" s="29" t="s">
        <v>979</v>
      </c>
      <c r="J175" s="61">
        <f>AVERAGEIF($D$2:$D$161, $B175, J$2:J$161)</f>
        <v>1802.49775</v>
      </c>
      <c r="K175" s="61">
        <f>AVERAGEIF($D$2:$D$161, $B175, K$2:K$161)</f>
        <v>0.35931361426786618</v>
      </c>
      <c r="O175" s="61">
        <f>AVERAGEIF($D$2:$D$161, $B175, O$2:O$161)</f>
        <v>1.2588750000000011</v>
      </c>
      <c r="P175" s="61">
        <f>AVERAGEIF($D$2:$D$161, $B175, P$2:P$161)</f>
        <v>0.34666927204979925</v>
      </c>
      <c r="Q175" s="61"/>
      <c r="U175" s="61">
        <f>AVERAGEIF($D$2:$D$161, $B175, U$2:U$161)</f>
        <v>3.7636951069999993</v>
      </c>
      <c r="V175" s="61">
        <f>AVERAGEIF($D$2:$D$161, $B175, V$2:V$161)</f>
        <v>0.46543723709885604</v>
      </c>
      <c r="W175" s="61"/>
    </row>
    <row r="176" spans="1:34" x14ac:dyDescent="0.6">
      <c r="K176" s="61"/>
      <c r="O176" s="60"/>
      <c r="P176" s="61"/>
      <c r="Q176" s="61"/>
      <c r="U176" s="60"/>
      <c r="V176" s="61"/>
      <c r="W176" s="61"/>
    </row>
    <row r="177" spans="2:23" x14ac:dyDescent="0.6">
      <c r="B177" s="55" t="s">
        <v>967</v>
      </c>
      <c r="O177" s="60"/>
      <c r="P177" s="62"/>
      <c r="U177" s="60"/>
    </row>
    <row r="178" spans="2:23" x14ac:dyDescent="0.6">
      <c r="B178" s="29" t="s">
        <v>981</v>
      </c>
      <c r="J178" s="61">
        <f>AVERAGEIF($E$2:$E$161, $B178, J$2:J$161)</f>
        <v>1802.6377499999999</v>
      </c>
      <c r="K178" s="61">
        <f>AVERAGEIF($E$2:$E$161, $B178, K$2:K$161)</f>
        <v>0.38907436048729965</v>
      </c>
      <c r="O178" s="61">
        <f>AVERAGEIF($E$2:$E$161, $B178, O$2:O$161)</f>
        <v>1.2582500000000012</v>
      </c>
      <c r="P178" s="61">
        <f>AVERAGEIF($E$2:$E$161, $B178, P$2:P$161)</f>
        <v>0.37065547229741025</v>
      </c>
      <c r="Q178" s="61"/>
      <c r="U178" s="61">
        <f>AVERAGEIF($E$2:$E$161, $B178, U$2:U$161)</f>
        <v>3.7758105067499992</v>
      </c>
      <c r="V178" s="61">
        <f>AVERAGEIF($E$2:$E$161, $B178, V$2:V$161)</f>
        <v>0.51546989653855313</v>
      </c>
      <c r="W178" s="61"/>
    </row>
    <row r="179" spans="2:23" x14ac:dyDescent="0.6">
      <c r="B179" s="29" t="s">
        <v>984</v>
      </c>
      <c r="J179" s="61">
        <f>AVERAGEIF($E$2:$E$161, $B179, J$2:J$161)</f>
        <v>1771.7132500000002</v>
      </c>
      <c r="K179" s="61">
        <f>AVERAGEIF($E$2:$E$161, $B179, K$2:K$161)</f>
        <v>0.43475417991055448</v>
      </c>
      <c r="O179" s="61">
        <f>AVERAGEIF($E$2:$E$161, $B179, O$2:O$161)</f>
        <v>1.2590000000000012</v>
      </c>
      <c r="P179" s="61">
        <f>AVERAGEIF($E$2:$E$161, $B179, P$2:P$161)</f>
        <v>0.41756099712420702</v>
      </c>
      <c r="Q179" s="61"/>
      <c r="U179" s="61">
        <f>AVERAGEIF($E$2:$E$161, $B179, U$2:U$161)</f>
        <v>3.7659227292500006</v>
      </c>
      <c r="V179" s="61">
        <f>AVERAGEIF($E$2:$E$161, $B179, V$2:V$161)</f>
        <v>0.6160555391978686</v>
      </c>
      <c r="W179" s="61"/>
    </row>
    <row r="184" spans="2:23" x14ac:dyDescent="0.6">
      <c r="B184" s="26" t="s">
        <v>1017</v>
      </c>
      <c r="J184" s="65">
        <f>AVERAGEIF($G$2:$G$161, $B184, J$2:J$161)</f>
        <v>3.7590000000000003</v>
      </c>
      <c r="K184" s="39">
        <f>AVERAGEIF($G$2:$G$161, $B184, K$2:K$161)</f>
        <v>0</v>
      </c>
      <c r="L184" s="39"/>
      <c r="M184" s="39"/>
      <c r="N184" s="39"/>
      <c r="O184" s="65">
        <f>AVERAGEIF($G$2:$G$161, $B184, O$2:O$161)</f>
        <v>1.002</v>
      </c>
      <c r="P184" s="39">
        <f>AVERAGEIF($G$2:$G$161, $B184, P$2:P$161)</f>
        <v>0</v>
      </c>
      <c r="Q184" s="39"/>
      <c r="R184" s="48"/>
      <c r="S184" s="48"/>
      <c r="T184" s="48"/>
      <c r="U184" s="65">
        <f>AVERAGEIF($G$2:$G$161, $B184, U$2:U$161)</f>
        <v>3.4640969760000004</v>
      </c>
      <c r="V184" s="39">
        <f>AVERAGEIF($G$2:$G$161, $B184, V$2:V$161)</f>
        <v>0.14885699096225413</v>
      </c>
      <c r="W184" s="39"/>
    </row>
    <row r="185" spans="2:23" x14ac:dyDescent="0.6">
      <c r="B185" s="26" t="s">
        <v>1018</v>
      </c>
      <c r="J185" s="65">
        <f t="shared" ref="J185:K199" si="27">AVERAGEIF($G$2:$G$161, $B185, J$2:J$161)</f>
        <v>2.9560000000000004</v>
      </c>
      <c r="K185" s="39">
        <f t="shared" si="27"/>
        <v>0</v>
      </c>
      <c r="L185" s="39"/>
      <c r="M185" s="39"/>
      <c r="N185" s="39"/>
      <c r="O185" s="65">
        <f t="shared" ref="O185:P199" si="28">AVERAGEIF($G$2:$G$161, $B185, O$2:O$161)</f>
        <v>1.01</v>
      </c>
      <c r="P185" s="39">
        <f t="shared" si="28"/>
        <v>0</v>
      </c>
      <c r="Q185" s="39"/>
      <c r="R185" s="48"/>
      <c r="S185" s="48"/>
      <c r="T185" s="48"/>
      <c r="U185" s="65">
        <f t="shared" ref="U185:V199" si="29">AVERAGEIF($G$2:$G$161, $B185, U$2:U$161)</f>
        <v>3.4459793799999998</v>
      </c>
      <c r="V185" s="39">
        <f t="shared" si="29"/>
        <v>0.15333631414218457</v>
      </c>
      <c r="W185" s="39"/>
    </row>
    <row r="186" spans="2:23" x14ac:dyDescent="0.6">
      <c r="B186" s="26" t="s">
        <v>1019</v>
      </c>
      <c r="J186" s="65">
        <f t="shared" si="27"/>
        <v>5.5089999999999995</v>
      </c>
      <c r="K186" s="39">
        <f t="shared" si="27"/>
        <v>0</v>
      </c>
      <c r="L186" s="39"/>
      <c r="M186" s="39"/>
      <c r="N186" s="39"/>
      <c r="O186" s="65">
        <f t="shared" si="28"/>
        <v>1.0089999999999999</v>
      </c>
      <c r="P186" s="39">
        <f t="shared" si="28"/>
        <v>0</v>
      </c>
      <c r="Q186" s="39"/>
      <c r="R186" s="48"/>
      <c r="S186" s="48"/>
      <c r="T186" s="48"/>
      <c r="U186" s="65">
        <f t="shared" si="29"/>
        <v>3.4550292479999998</v>
      </c>
      <c r="V186" s="39">
        <f t="shared" si="29"/>
        <v>3.968253968253968E-2</v>
      </c>
      <c r="W186" s="39"/>
    </row>
    <row r="187" spans="2:23" x14ac:dyDescent="0.6">
      <c r="B187" s="26" t="s">
        <v>1020</v>
      </c>
      <c r="J187" s="65">
        <f t="shared" si="27"/>
        <v>3.1209999999999996</v>
      </c>
      <c r="K187" s="39">
        <f t="shared" si="27"/>
        <v>0</v>
      </c>
      <c r="L187" s="39"/>
      <c r="M187" s="39"/>
      <c r="N187" s="39"/>
      <c r="O187" s="65">
        <f t="shared" si="28"/>
        <v>1.0089999999999999</v>
      </c>
      <c r="P187" s="39">
        <f t="shared" si="28"/>
        <v>0</v>
      </c>
      <c r="Q187" s="39"/>
      <c r="R187" s="48"/>
      <c r="S187" s="48"/>
      <c r="T187" s="48"/>
      <c r="U187" s="65">
        <f t="shared" si="29"/>
        <v>3.4319747440000001</v>
      </c>
      <c r="V187" s="39">
        <f t="shared" si="29"/>
        <v>0</v>
      </c>
      <c r="W187" s="39"/>
    </row>
    <row r="188" spans="2:23" x14ac:dyDescent="0.6">
      <c r="B188" s="26" t="s">
        <v>1021</v>
      </c>
      <c r="J188" s="65">
        <f t="shared" si="27"/>
        <v>4.8340000000000005</v>
      </c>
      <c r="K188" s="39">
        <f t="shared" si="27"/>
        <v>0</v>
      </c>
      <c r="L188" s="39"/>
      <c r="M188" s="39"/>
      <c r="N188" s="39"/>
      <c r="O188" s="65">
        <f t="shared" si="28"/>
        <v>1.0089999999999999</v>
      </c>
      <c r="P188" s="39">
        <f t="shared" si="28"/>
        <v>0</v>
      </c>
      <c r="Q188" s="39"/>
      <c r="R188" s="48"/>
      <c r="S188" s="48"/>
      <c r="T188" s="48"/>
      <c r="U188" s="65">
        <f t="shared" si="29"/>
        <v>3.514606568</v>
      </c>
      <c r="V188" s="39">
        <f t="shared" si="29"/>
        <v>0</v>
      </c>
      <c r="W188" s="39"/>
    </row>
    <row r="189" spans="2:23" x14ac:dyDescent="0.6">
      <c r="B189" s="26" t="s">
        <v>1022</v>
      </c>
      <c r="J189" s="65">
        <f t="shared" si="27"/>
        <v>3.7300000000000004</v>
      </c>
      <c r="K189" s="39">
        <f t="shared" si="27"/>
        <v>0</v>
      </c>
      <c r="L189" s="39"/>
      <c r="M189" s="39"/>
      <c r="N189" s="39"/>
      <c r="O189" s="65">
        <f t="shared" si="28"/>
        <v>1.0089999999999999</v>
      </c>
      <c r="P189" s="39">
        <f t="shared" si="28"/>
        <v>0</v>
      </c>
      <c r="Q189" s="39"/>
      <c r="R189" s="48"/>
      <c r="S189" s="48"/>
      <c r="T189" s="48"/>
      <c r="U189" s="65">
        <f t="shared" si="29"/>
        <v>3.4511004059999997</v>
      </c>
      <c r="V189" s="39">
        <f t="shared" si="29"/>
        <v>0.16728563509240885</v>
      </c>
      <c r="W189" s="39"/>
    </row>
    <row r="190" spans="2:23" x14ac:dyDescent="0.6">
      <c r="B190" s="26" t="s">
        <v>1023</v>
      </c>
      <c r="J190" s="65">
        <f t="shared" si="27"/>
        <v>6.9129999999999994</v>
      </c>
      <c r="K190" s="39">
        <f t="shared" si="27"/>
        <v>0</v>
      </c>
      <c r="L190" s="39"/>
      <c r="M190" s="39"/>
      <c r="N190" s="39"/>
      <c r="O190" s="65">
        <f t="shared" si="28"/>
        <v>1.0089999999999999</v>
      </c>
      <c r="P190" s="39">
        <f t="shared" si="28"/>
        <v>0</v>
      </c>
      <c r="Q190" s="39"/>
      <c r="R190" s="48"/>
      <c r="S190" s="48"/>
      <c r="T190" s="48"/>
      <c r="U190" s="65">
        <f t="shared" si="29"/>
        <v>3.4518460480000002</v>
      </c>
      <c r="V190" s="39">
        <f t="shared" si="29"/>
        <v>2.9411764705882353E-2</v>
      </c>
      <c r="W190" s="39"/>
    </row>
    <row r="191" spans="2:23" x14ac:dyDescent="0.6">
      <c r="B191" s="26" t="s">
        <v>1024</v>
      </c>
      <c r="J191" s="65">
        <f t="shared" si="27"/>
        <v>4.3529999999999998</v>
      </c>
      <c r="K191" s="39">
        <f t="shared" si="27"/>
        <v>0</v>
      </c>
      <c r="L191" s="39"/>
      <c r="M191" s="39"/>
      <c r="N191" s="39"/>
      <c r="O191" s="65">
        <f t="shared" si="28"/>
        <v>1.0069999999999999</v>
      </c>
      <c r="P191" s="39">
        <f t="shared" si="28"/>
        <v>0</v>
      </c>
      <c r="Q191" s="39"/>
      <c r="R191" s="48"/>
      <c r="S191" s="48"/>
      <c r="T191" s="48"/>
      <c r="U191" s="65">
        <f t="shared" si="29"/>
        <v>3.4671574440000001</v>
      </c>
      <c r="V191" s="39">
        <f t="shared" si="29"/>
        <v>2.9411764705882353E-2</v>
      </c>
      <c r="W191" s="39"/>
    </row>
    <row r="192" spans="2:23" x14ac:dyDescent="0.6">
      <c r="B192" s="26" t="s">
        <v>1025</v>
      </c>
      <c r="J192" s="65">
        <f t="shared" si="27"/>
        <v>3600.0190000000002</v>
      </c>
      <c r="K192" s="39">
        <f t="shared" si="27"/>
        <v>1.1813397170157931</v>
      </c>
      <c r="L192" s="39"/>
      <c r="M192" s="39"/>
      <c r="N192" s="39"/>
      <c r="O192" s="65">
        <f t="shared" si="28"/>
        <v>1.5089999999999999</v>
      </c>
      <c r="P192" s="39">
        <f t="shared" si="28"/>
        <v>1.0792774274535033</v>
      </c>
      <c r="Q192" s="39"/>
      <c r="R192" s="48"/>
      <c r="S192" s="48"/>
      <c r="T192" s="48"/>
      <c r="U192" s="65">
        <f t="shared" si="29"/>
        <v>4.0867596099999997</v>
      </c>
      <c r="V192" s="39">
        <f t="shared" si="29"/>
        <v>1.350083994637113</v>
      </c>
      <c r="W192" s="39"/>
    </row>
    <row r="193" spans="2:23" x14ac:dyDescent="0.6">
      <c r="B193" s="26" t="s">
        <v>1026</v>
      </c>
      <c r="J193" s="65">
        <f t="shared" si="27"/>
        <v>3359.4790000000003</v>
      </c>
      <c r="K193" s="39">
        <f t="shared" si="27"/>
        <v>1.1411547628273666</v>
      </c>
      <c r="L193" s="39"/>
      <c r="M193" s="39"/>
      <c r="N193" s="39"/>
      <c r="O193" s="65">
        <f t="shared" si="28"/>
        <v>1.5089999999999999</v>
      </c>
      <c r="P193" s="39">
        <f t="shared" si="28"/>
        <v>1.1047911264637302</v>
      </c>
      <c r="Q193" s="39"/>
      <c r="R193" s="48"/>
      <c r="S193" s="48"/>
      <c r="T193" s="48"/>
      <c r="U193" s="65">
        <f t="shared" si="29"/>
        <v>4.0647159439999996</v>
      </c>
      <c r="V193" s="39">
        <f t="shared" si="29"/>
        <v>1.7286496718503226</v>
      </c>
      <c r="W193" s="39"/>
    </row>
    <row r="194" spans="2:23" x14ac:dyDescent="0.6">
      <c r="B194" s="26" t="s">
        <v>1027</v>
      </c>
      <c r="J194" s="65">
        <f t="shared" si="27"/>
        <v>3600.0199999999995</v>
      </c>
      <c r="K194" s="39">
        <f t="shared" si="27"/>
        <v>0.78249761288721054</v>
      </c>
      <c r="L194" s="39"/>
      <c r="M194" s="39"/>
      <c r="N194" s="39"/>
      <c r="O194" s="65">
        <f t="shared" si="28"/>
        <v>1.51</v>
      </c>
      <c r="P194" s="39">
        <f t="shared" si="28"/>
        <v>0.75611238861280428</v>
      </c>
      <c r="Q194" s="39"/>
      <c r="R194" s="48"/>
      <c r="S194" s="48"/>
      <c r="T194" s="48"/>
      <c r="U194" s="65">
        <f t="shared" si="29"/>
        <v>4.0760613039999996</v>
      </c>
      <c r="V194" s="39">
        <f t="shared" si="29"/>
        <v>1.144581499677533</v>
      </c>
      <c r="W194" s="39"/>
    </row>
    <row r="195" spans="2:23" x14ac:dyDescent="0.6">
      <c r="B195" s="26" t="s">
        <v>1028</v>
      </c>
      <c r="J195" s="65">
        <f t="shared" si="27"/>
        <v>3600.0209999999997</v>
      </c>
      <c r="K195" s="39">
        <f t="shared" si="27"/>
        <v>0.94990738051711787</v>
      </c>
      <c r="L195" s="39"/>
      <c r="M195" s="39"/>
      <c r="N195" s="39"/>
      <c r="O195" s="65">
        <f t="shared" si="28"/>
        <v>1.51</v>
      </c>
      <c r="P195" s="39">
        <f t="shared" si="28"/>
        <v>0.89404145872940821</v>
      </c>
      <c r="Q195" s="39"/>
      <c r="R195" s="48"/>
      <c r="S195" s="48"/>
      <c r="T195" s="48"/>
      <c r="U195" s="65">
        <f t="shared" si="29"/>
        <v>4.1054969320000003</v>
      </c>
      <c r="V195" s="39">
        <f t="shared" si="29"/>
        <v>1.1429207756397219</v>
      </c>
      <c r="W195" s="39"/>
    </row>
    <row r="196" spans="2:23" x14ac:dyDescent="0.6">
      <c r="B196" s="26" t="s">
        <v>1029</v>
      </c>
      <c r="J196" s="65">
        <f t="shared" si="27"/>
        <v>3600.0270000000005</v>
      </c>
      <c r="K196" s="39">
        <f t="shared" si="27"/>
        <v>0.61766932397487229</v>
      </c>
      <c r="L196" s="39"/>
      <c r="M196" s="39"/>
      <c r="N196" s="39"/>
      <c r="O196" s="65">
        <f t="shared" si="28"/>
        <v>1.5089999999999999</v>
      </c>
      <c r="P196" s="39">
        <f t="shared" si="28"/>
        <v>0.61766932397487229</v>
      </c>
      <c r="Q196" s="39"/>
      <c r="R196" s="48"/>
      <c r="S196" s="48"/>
      <c r="T196" s="48"/>
      <c r="U196" s="65">
        <f t="shared" si="29"/>
        <v>4.0821259059999999</v>
      </c>
      <c r="V196" s="39">
        <f t="shared" si="29"/>
        <v>0.80067960196003374</v>
      </c>
      <c r="W196" s="39"/>
    </row>
    <row r="197" spans="2:23" x14ac:dyDescent="0.6">
      <c r="B197" s="26" t="s">
        <v>1030</v>
      </c>
      <c r="J197" s="65">
        <f t="shared" si="27"/>
        <v>3600.0219999999999</v>
      </c>
      <c r="K197" s="39">
        <f t="shared" si="27"/>
        <v>0.7759556052218719</v>
      </c>
      <c r="L197" s="39"/>
      <c r="M197" s="39"/>
      <c r="N197" s="39"/>
      <c r="O197" s="65">
        <f t="shared" si="28"/>
        <v>1.51</v>
      </c>
      <c r="P197" s="39">
        <f t="shared" si="28"/>
        <v>0.73063970108243848</v>
      </c>
      <c r="Q197" s="39"/>
      <c r="R197" s="48"/>
      <c r="S197" s="48"/>
      <c r="T197" s="48"/>
      <c r="U197" s="65">
        <f t="shared" si="29"/>
        <v>4.1149202420000002</v>
      </c>
      <c r="V197" s="39">
        <f t="shared" si="29"/>
        <v>0.97981338045620736</v>
      </c>
      <c r="W197" s="39"/>
    </row>
    <row r="198" spans="2:23" x14ac:dyDescent="0.6">
      <c r="B198" s="26" t="s">
        <v>1031</v>
      </c>
      <c r="J198" s="65">
        <f t="shared" si="27"/>
        <v>3600.0209999999997</v>
      </c>
      <c r="K198" s="39">
        <f t="shared" si="27"/>
        <v>0.53108823002052075</v>
      </c>
      <c r="L198" s="39"/>
      <c r="M198" s="39"/>
      <c r="N198" s="39"/>
      <c r="O198" s="65">
        <f t="shared" si="28"/>
        <v>1.5089999999999999</v>
      </c>
      <c r="P198" s="39">
        <f t="shared" si="28"/>
        <v>0.51218463833810124</v>
      </c>
      <c r="Q198" s="39"/>
      <c r="R198" s="48"/>
      <c r="S198" s="48"/>
      <c r="T198" s="48"/>
      <c r="U198" s="65">
        <f t="shared" si="29"/>
        <v>4.0759583940000006</v>
      </c>
      <c r="V198" s="39">
        <f t="shared" si="29"/>
        <v>0.6104627806830687</v>
      </c>
      <c r="W198" s="39"/>
    </row>
    <row r="199" spans="2:23" x14ac:dyDescent="0.6">
      <c r="B199" s="26" t="s">
        <v>1032</v>
      </c>
      <c r="J199" s="65">
        <f t="shared" si="27"/>
        <v>3600.0240000000003</v>
      </c>
      <c r="K199" s="39">
        <f t="shared" si="27"/>
        <v>0.61101569071807982</v>
      </c>
      <c r="L199" s="39"/>
      <c r="M199" s="39"/>
      <c r="N199" s="39"/>
      <c r="O199" s="65">
        <f t="shared" si="28"/>
        <v>1.508</v>
      </c>
      <c r="P199" s="39">
        <f t="shared" si="28"/>
        <v>0.61101569071807982</v>
      </c>
      <c r="Q199" s="39"/>
      <c r="R199" s="48"/>
      <c r="S199" s="48"/>
      <c r="T199" s="48"/>
      <c r="U199" s="65">
        <f t="shared" si="29"/>
        <v>4.0460367420000001</v>
      </c>
      <c r="V199" s="39">
        <f t="shared" si="29"/>
        <v>0.72702677169622076</v>
      </c>
      <c r="W199" s="39"/>
    </row>
    <row r="200" spans="2:23" x14ac:dyDescent="0.6">
      <c r="B200" s="26" t="s">
        <v>1033</v>
      </c>
      <c r="J200" s="65">
        <f>AVERAGE(J184:J199)</f>
        <v>1787.1755000000003</v>
      </c>
      <c r="K200" s="39">
        <f>AVERAGE(K184:K199)</f>
        <v>0.41191427019892701</v>
      </c>
      <c r="L200" s="39"/>
      <c r="M200" s="39"/>
      <c r="N200" s="39"/>
      <c r="O200" s="65">
        <f>AVERAGE(O184:O199)</f>
        <v>1.2586250000000001</v>
      </c>
      <c r="P200" s="39">
        <f>AVERAGE(P184:P199)</f>
        <v>0.39410823471080864</v>
      </c>
      <c r="Q200" s="39"/>
      <c r="R200" s="48"/>
      <c r="S200" s="48"/>
      <c r="T200" s="48"/>
      <c r="U200" s="65">
        <f>AVERAGE(U184:U199)</f>
        <v>3.7708666179999994</v>
      </c>
      <c r="V200" s="39">
        <f>AVERAGE(V184:V199)</f>
        <v>0.56576271786821075</v>
      </c>
      <c r="W200" s="39"/>
    </row>
  </sheetData>
  <phoneticPr fontId="18" type="noConversion"/>
  <pageMargins left="0.7" right="0.7" top="0.75" bottom="0.75" header="0.3" footer="0.3"/>
  <pageSetup paperSize="9" scale="44" fitToHeight="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0"/>
  <sheetViews>
    <sheetView topLeftCell="B1" zoomScale="80" zoomScaleNormal="80" workbookViewId="0">
      <selection activeCell="P1" sqref="P1:T1"/>
    </sheetView>
  </sheetViews>
  <sheetFormatPr defaultRowHeight="15.3" x14ac:dyDescent="0.6"/>
  <cols>
    <col min="1" max="1" width="44.578125" style="35" hidden="1" customWidth="1"/>
    <col min="2" max="2" width="4.41796875" style="35" customWidth="1"/>
    <col min="3" max="3" width="5.20703125" style="35" customWidth="1"/>
    <col min="4" max="4" width="5.62890625" style="35" customWidth="1"/>
    <col min="5" max="5" width="4.9453125" style="35" customWidth="1"/>
    <col min="6" max="6" width="5.3125" style="35" customWidth="1"/>
    <col min="7" max="7" width="5.5234375" style="35" customWidth="1"/>
    <col min="8" max="8" width="5.5234375" style="49" customWidth="1"/>
    <col min="9" max="9" width="4.83984375" style="56" customWidth="1"/>
    <col min="10" max="10" width="5.3125" style="56" customWidth="1"/>
    <col min="11" max="11" width="6.7890625" style="49" customWidth="1"/>
    <col min="12" max="12" width="8.15625" style="49" customWidth="1"/>
    <col min="13" max="13" width="8.47265625" style="49" customWidth="1"/>
    <col min="14" max="14" width="6.41796875" style="49" customWidth="1"/>
    <col min="15" max="15" width="3.62890625" style="35" customWidth="1"/>
    <col min="16" max="16" width="5" style="49" customWidth="1"/>
    <col min="17" max="17" width="7.62890625" style="42" customWidth="1"/>
    <col min="18" max="18" width="6.3671875" style="58" customWidth="1"/>
    <col min="19" max="19" width="7.26171875" style="58" customWidth="1"/>
    <col min="20" max="20" width="8.26171875" style="58" customWidth="1"/>
    <col min="21" max="21" width="4.62890625" style="49" customWidth="1"/>
    <col min="22" max="22" width="4.3125" style="49" customWidth="1"/>
    <col min="23" max="23" width="4.68359375" style="49" customWidth="1"/>
    <col min="24" max="16384" width="8.83984375" style="35"/>
  </cols>
  <sheetData>
    <row r="1" spans="1:23" s="68" customFormat="1" ht="33" x14ac:dyDescent="0.6">
      <c r="A1" s="67" t="s">
        <v>0</v>
      </c>
      <c r="B1" s="69" t="s">
        <v>969</v>
      </c>
      <c r="C1" s="69" t="s">
        <v>965</v>
      </c>
      <c r="D1" s="69" t="s">
        <v>966</v>
      </c>
      <c r="E1" s="69" t="s">
        <v>967</v>
      </c>
      <c r="F1" s="69" t="s">
        <v>968</v>
      </c>
      <c r="G1" s="69" t="s">
        <v>1034</v>
      </c>
      <c r="H1" s="70" t="s">
        <v>1040</v>
      </c>
      <c r="I1" s="71" t="s">
        <v>1039</v>
      </c>
      <c r="J1" s="71" t="s">
        <v>1038</v>
      </c>
      <c r="K1" s="70" t="s">
        <v>1043</v>
      </c>
      <c r="L1" s="70" t="s">
        <v>1049</v>
      </c>
      <c r="M1" s="70" t="s">
        <v>1042</v>
      </c>
      <c r="N1" s="70" t="s">
        <v>1041</v>
      </c>
      <c r="O1" s="72"/>
      <c r="P1" s="70" t="s">
        <v>1068</v>
      </c>
      <c r="Q1" s="70" t="s">
        <v>1069</v>
      </c>
      <c r="R1" s="70" t="s">
        <v>1070</v>
      </c>
      <c r="S1" s="70" t="s">
        <v>1071</v>
      </c>
      <c r="T1" s="70" t="s">
        <v>1072</v>
      </c>
      <c r="U1" s="70" t="s">
        <v>1035</v>
      </c>
      <c r="V1" s="70" t="s">
        <v>1036</v>
      </c>
      <c r="W1" s="70" t="s">
        <v>1037</v>
      </c>
    </row>
    <row r="2" spans="1:23" s="47" customFormat="1" x14ac:dyDescent="0.6">
      <c r="A2" s="47" t="s">
        <v>2</v>
      </c>
      <c r="B2" s="50">
        <v>20</v>
      </c>
      <c r="C2" s="51" t="s">
        <v>971</v>
      </c>
      <c r="D2" s="25" t="s">
        <v>977</v>
      </c>
      <c r="E2" s="25" t="s">
        <v>981</v>
      </c>
      <c r="F2" s="50">
        <v>1</v>
      </c>
      <c r="G2" s="50">
        <f>MIN(I2,P2)</f>
        <v>386</v>
      </c>
      <c r="H2" s="57">
        <v>430</v>
      </c>
      <c r="I2" s="32">
        <v>386</v>
      </c>
      <c r="J2" s="32">
        <v>386</v>
      </c>
      <c r="K2" s="32">
        <v>2.0099999999999998</v>
      </c>
      <c r="L2" s="46">
        <f>(H2-$G2)/$G2*100</f>
        <v>11.398963730569948</v>
      </c>
      <c r="M2" s="46">
        <f t="shared" ref="M2:N2" si="0">(I2-$G2)/$G2*100</f>
        <v>0</v>
      </c>
      <c r="N2" s="46">
        <f t="shared" si="0"/>
        <v>0</v>
      </c>
      <c r="O2" s="47" t="s">
        <v>1</v>
      </c>
      <c r="P2" s="50">
        <v>387</v>
      </c>
      <c r="Q2" s="30">
        <v>390</v>
      </c>
      <c r="R2" s="33">
        <v>5.2605517199999996</v>
      </c>
      <c r="S2" s="46">
        <f>(P2-$G2)/$G2*100</f>
        <v>0.2590673575129534</v>
      </c>
      <c r="T2" s="46">
        <f>(Q2-$G2)/$G2*100</f>
        <v>1.0362694300518136</v>
      </c>
      <c r="U2" s="50">
        <f>IF($I2&lt;$P2,1,0)</f>
        <v>1</v>
      </c>
      <c r="V2" s="50">
        <f>IF($I2=$P2,1,0)</f>
        <v>0</v>
      </c>
      <c r="W2" s="50">
        <f>IF($I2&gt;$P2,1,0)</f>
        <v>0</v>
      </c>
    </row>
    <row r="3" spans="1:23" s="47" customFormat="1" x14ac:dyDescent="0.6">
      <c r="A3" s="41" t="s">
        <v>3</v>
      </c>
      <c r="B3" s="50">
        <v>20</v>
      </c>
      <c r="C3" s="51" t="s">
        <v>971</v>
      </c>
      <c r="D3" s="25" t="s">
        <v>977</v>
      </c>
      <c r="E3" s="25" t="s">
        <v>983</v>
      </c>
      <c r="F3" s="50">
        <v>2</v>
      </c>
      <c r="G3" s="50">
        <f t="shared" ref="G3:G66" si="1">MIN(I3,P3)</f>
        <v>369</v>
      </c>
      <c r="H3" s="57">
        <v>442</v>
      </c>
      <c r="I3" s="32">
        <v>369</v>
      </c>
      <c r="J3" s="32">
        <v>369</v>
      </c>
      <c r="K3" s="32">
        <v>2.0099999999999998</v>
      </c>
      <c r="L3" s="46">
        <f t="shared" ref="L3:L66" si="2">(H3-$G3)/$G3*100</f>
        <v>19.78319783197832</v>
      </c>
      <c r="M3" s="46">
        <f t="shared" ref="M3:M66" si="3">(I3-$G3)/$G3*100</f>
        <v>0</v>
      </c>
      <c r="N3" s="46">
        <f t="shared" ref="N3:N66" si="4">(J3-$G3)/$G3*100</f>
        <v>0</v>
      </c>
      <c r="O3" s="41" t="s">
        <v>1</v>
      </c>
      <c r="P3" s="50">
        <v>370</v>
      </c>
      <c r="Q3" s="30">
        <v>374</v>
      </c>
      <c r="R3" s="33">
        <v>5.0509963999999998</v>
      </c>
      <c r="S3" s="46">
        <f t="shared" ref="S3:S66" si="5">(P3-$G3)/$G3*100</f>
        <v>0.27100271002710025</v>
      </c>
      <c r="T3" s="46">
        <f t="shared" ref="T3:T66" si="6">(Q3-$G3)/$G3*100</f>
        <v>1.3550135501355014</v>
      </c>
      <c r="U3" s="50">
        <f>IF($I3&lt;$P3,1,0)</f>
        <v>1</v>
      </c>
      <c r="V3" s="50">
        <f>IF($I3=$P3,1,0)</f>
        <v>0</v>
      </c>
      <c r="W3" s="50">
        <f>IF($I3&gt;$P3,1,0)</f>
        <v>0</v>
      </c>
    </row>
    <row r="4" spans="1:23" s="47" customFormat="1" x14ac:dyDescent="0.6">
      <c r="A4" s="47" t="s">
        <v>4</v>
      </c>
      <c r="B4" s="50">
        <v>20</v>
      </c>
      <c r="C4" s="51" t="s">
        <v>970</v>
      </c>
      <c r="D4" s="25" t="s">
        <v>976</v>
      </c>
      <c r="E4" s="25" t="s">
        <v>980</v>
      </c>
      <c r="F4" s="50">
        <v>3</v>
      </c>
      <c r="G4" s="50">
        <f t="shared" si="1"/>
        <v>385</v>
      </c>
      <c r="H4" s="57">
        <v>529</v>
      </c>
      <c r="I4" s="32">
        <v>385</v>
      </c>
      <c r="J4" s="32">
        <v>385</v>
      </c>
      <c r="K4" s="32">
        <v>2.0099999999999998</v>
      </c>
      <c r="L4" s="46">
        <f t="shared" si="2"/>
        <v>37.402597402597401</v>
      </c>
      <c r="M4" s="46">
        <f t="shared" si="3"/>
        <v>0</v>
      </c>
      <c r="N4" s="46">
        <f t="shared" si="4"/>
        <v>0</v>
      </c>
      <c r="O4" s="47" t="s">
        <v>1</v>
      </c>
      <c r="P4" s="50">
        <v>386</v>
      </c>
      <c r="Q4" s="30">
        <v>388.4</v>
      </c>
      <c r="R4" s="33">
        <v>5.2110435400000004</v>
      </c>
      <c r="S4" s="46">
        <f t="shared" si="5"/>
        <v>0.25974025974025972</v>
      </c>
      <c r="T4" s="46">
        <f t="shared" si="6"/>
        <v>0.88311688311687708</v>
      </c>
      <c r="U4" s="50">
        <f>IF($I4&lt;$P4,1,0)</f>
        <v>1</v>
      </c>
      <c r="V4" s="50">
        <f>IF($I4=$P4,1,0)</f>
        <v>0</v>
      </c>
      <c r="W4" s="50">
        <f>IF($I4&gt;$P4,1,0)</f>
        <v>0</v>
      </c>
    </row>
    <row r="5" spans="1:23" s="47" customFormat="1" x14ac:dyDescent="0.6">
      <c r="A5" s="41" t="s">
        <v>5</v>
      </c>
      <c r="B5" s="50">
        <v>20</v>
      </c>
      <c r="C5" s="51" t="s">
        <v>970</v>
      </c>
      <c r="D5" s="25" t="s">
        <v>976</v>
      </c>
      <c r="E5" s="25" t="s">
        <v>980</v>
      </c>
      <c r="F5" s="50">
        <v>4</v>
      </c>
      <c r="G5" s="50">
        <f t="shared" si="1"/>
        <v>395</v>
      </c>
      <c r="H5" s="57">
        <v>468</v>
      </c>
      <c r="I5" s="32">
        <v>395</v>
      </c>
      <c r="J5" s="32">
        <v>395.8</v>
      </c>
      <c r="K5" s="32">
        <v>2.0099999999999998</v>
      </c>
      <c r="L5" s="46">
        <f t="shared" si="2"/>
        <v>18.481012658227851</v>
      </c>
      <c r="M5" s="46">
        <f t="shared" si="3"/>
        <v>0</v>
      </c>
      <c r="N5" s="46">
        <f t="shared" si="4"/>
        <v>0.20253164556962314</v>
      </c>
      <c r="O5" s="41" t="s">
        <v>1</v>
      </c>
      <c r="P5" s="50">
        <v>399</v>
      </c>
      <c r="Q5" s="30">
        <v>401</v>
      </c>
      <c r="R5" s="33">
        <v>4.9347675999999998</v>
      </c>
      <c r="S5" s="46">
        <f t="shared" si="5"/>
        <v>1.0126582278481013</v>
      </c>
      <c r="T5" s="46">
        <f t="shared" si="6"/>
        <v>1.5189873417721518</v>
      </c>
      <c r="U5" s="50">
        <f>IF($I5&lt;$P5,1,0)</f>
        <v>1</v>
      </c>
      <c r="V5" s="50">
        <f>IF($I5=$P5,1,0)</f>
        <v>0</v>
      </c>
      <c r="W5" s="50">
        <f>IF($I5&gt;$P5,1,0)</f>
        <v>0</v>
      </c>
    </row>
    <row r="6" spans="1:23" s="47" customFormat="1" x14ac:dyDescent="0.6">
      <c r="A6" s="41" t="s">
        <v>6</v>
      </c>
      <c r="B6" s="50">
        <v>20</v>
      </c>
      <c r="C6" s="51" t="s">
        <v>970</v>
      </c>
      <c r="D6" s="25" t="s">
        <v>976</v>
      </c>
      <c r="E6" s="25" t="s">
        <v>980</v>
      </c>
      <c r="F6" s="50">
        <v>5</v>
      </c>
      <c r="G6" s="50">
        <f t="shared" si="1"/>
        <v>375</v>
      </c>
      <c r="H6" s="57">
        <v>523</v>
      </c>
      <c r="I6" s="32">
        <v>375</v>
      </c>
      <c r="J6" s="32">
        <v>375</v>
      </c>
      <c r="K6" s="32">
        <v>2.0099999999999998</v>
      </c>
      <c r="L6" s="46">
        <f t="shared" si="2"/>
        <v>39.466666666666669</v>
      </c>
      <c r="M6" s="46">
        <f t="shared" si="3"/>
        <v>0</v>
      </c>
      <c r="N6" s="46">
        <f t="shared" si="4"/>
        <v>0</v>
      </c>
      <c r="O6" s="41" t="s">
        <v>1</v>
      </c>
      <c r="P6" s="50">
        <v>377</v>
      </c>
      <c r="Q6" s="30">
        <v>380.6</v>
      </c>
      <c r="R6" s="33">
        <v>5.4193501199999998</v>
      </c>
      <c r="S6" s="46">
        <f t="shared" si="5"/>
        <v>0.53333333333333333</v>
      </c>
      <c r="T6" s="46">
        <f t="shared" si="6"/>
        <v>1.4933333333333394</v>
      </c>
      <c r="U6" s="50">
        <f>IF($I6&lt;$P6,1,0)</f>
        <v>1</v>
      </c>
      <c r="V6" s="50">
        <f>IF($I6=$P6,1,0)</f>
        <v>0</v>
      </c>
      <c r="W6" s="50">
        <f>IF($I6&gt;$P6,1,0)</f>
        <v>0</v>
      </c>
    </row>
    <row r="7" spans="1:23" s="47" customFormat="1" x14ac:dyDescent="0.6">
      <c r="A7" s="41" t="s">
        <v>7</v>
      </c>
      <c r="B7" s="50">
        <v>20</v>
      </c>
      <c r="C7" s="51" t="s">
        <v>970</v>
      </c>
      <c r="D7" s="25" t="s">
        <v>976</v>
      </c>
      <c r="E7" s="25" t="s">
        <v>980</v>
      </c>
      <c r="F7" s="50">
        <v>6</v>
      </c>
      <c r="G7" s="50">
        <f t="shared" si="1"/>
        <v>415</v>
      </c>
      <c r="H7" s="57">
        <v>520</v>
      </c>
      <c r="I7" s="32">
        <v>415</v>
      </c>
      <c r="J7" s="32">
        <v>415</v>
      </c>
      <c r="K7" s="32">
        <v>2.0099999999999998</v>
      </c>
      <c r="L7" s="46">
        <f t="shared" si="2"/>
        <v>25.301204819277107</v>
      </c>
      <c r="M7" s="46">
        <f t="shared" si="3"/>
        <v>0</v>
      </c>
      <c r="N7" s="46">
        <f t="shared" si="4"/>
        <v>0</v>
      </c>
      <c r="O7" s="41" t="s">
        <v>1</v>
      </c>
      <c r="P7" s="50">
        <v>419</v>
      </c>
      <c r="Q7" s="30">
        <v>421</v>
      </c>
      <c r="R7" s="33">
        <v>5.1572910399999996</v>
      </c>
      <c r="S7" s="46">
        <f t="shared" si="5"/>
        <v>0.96385542168674709</v>
      </c>
      <c r="T7" s="46">
        <f t="shared" si="6"/>
        <v>1.4457831325301205</v>
      </c>
      <c r="U7" s="50">
        <f>IF($I7&lt;$P7,1,0)</f>
        <v>1</v>
      </c>
      <c r="V7" s="50">
        <f>IF($I7=$P7,1,0)</f>
        <v>0</v>
      </c>
      <c r="W7" s="50">
        <f>IF($I7&gt;$P7,1,0)</f>
        <v>0</v>
      </c>
    </row>
    <row r="8" spans="1:23" s="47" customFormat="1" x14ac:dyDescent="0.6">
      <c r="A8" s="47" t="s">
        <v>399</v>
      </c>
      <c r="B8" s="50">
        <v>20</v>
      </c>
      <c r="C8" s="51" t="s">
        <v>970</v>
      </c>
      <c r="D8" s="25" t="s">
        <v>976</v>
      </c>
      <c r="E8" s="25" t="s">
        <v>980</v>
      </c>
      <c r="F8" s="50">
        <v>7</v>
      </c>
      <c r="G8" s="50">
        <f t="shared" si="1"/>
        <v>396</v>
      </c>
      <c r="H8" s="57">
        <v>457</v>
      </c>
      <c r="I8" s="32">
        <v>396</v>
      </c>
      <c r="J8" s="32">
        <v>396</v>
      </c>
      <c r="K8" s="32">
        <v>2.0099999999999998</v>
      </c>
      <c r="L8" s="46">
        <f t="shared" si="2"/>
        <v>15.404040404040403</v>
      </c>
      <c r="M8" s="46">
        <f t="shared" si="3"/>
        <v>0</v>
      </c>
      <c r="N8" s="46">
        <f t="shared" si="4"/>
        <v>0</v>
      </c>
      <c r="O8" s="47" t="s">
        <v>1</v>
      </c>
      <c r="P8" s="50">
        <v>399</v>
      </c>
      <c r="Q8" s="30">
        <v>400.4</v>
      </c>
      <c r="R8" s="33">
        <v>5.0410669800000001</v>
      </c>
      <c r="S8" s="46">
        <f t="shared" si="5"/>
        <v>0.75757575757575757</v>
      </c>
      <c r="T8" s="46">
        <f t="shared" si="6"/>
        <v>1.1111111111111054</v>
      </c>
      <c r="U8" s="50">
        <f>IF($I8&lt;$P8,1,0)</f>
        <v>1</v>
      </c>
      <c r="V8" s="50">
        <f>IF($I8=$P8,1,0)</f>
        <v>0</v>
      </c>
      <c r="W8" s="50">
        <f>IF($I8&gt;$P8,1,0)</f>
        <v>0</v>
      </c>
    </row>
    <row r="9" spans="1:23" s="47" customFormat="1" x14ac:dyDescent="0.6">
      <c r="A9" s="41" t="s">
        <v>8</v>
      </c>
      <c r="B9" s="50">
        <v>20</v>
      </c>
      <c r="C9" s="51" t="s">
        <v>970</v>
      </c>
      <c r="D9" s="25" t="s">
        <v>976</v>
      </c>
      <c r="E9" s="25" t="s">
        <v>980</v>
      </c>
      <c r="F9" s="50">
        <v>8</v>
      </c>
      <c r="G9" s="50">
        <f t="shared" si="1"/>
        <v>388</v>
      </c>
      <c r="H9" s="57">
        <v>496</v>
      </c>
      <c r="I9" s="32">
        <v>388</v>
      </c>
      <c r="J9" s="32">
        <v>388.2</v>
      </c>
      <c r="K9" s="32">
        <v>2.0099999999999998</v>
      </c>
      <c r="L9" s="46">
        <f t="shared" si="2"/>
        <v>27.835051546391753</v>
      </c>
      <c r="M9" s="46">
        <f t="shared" si="3"/>
        <v>0</v>
      </c>
      <c r="N9" s="46">
        <f t="shared" si="4"/>
        <v>5.1546391752574396E-2</v>
      </c>
      <c r="O9" s="41" t="s">
        <v>1</v>
      </c>
      <c r="P9" s="50">
        <v>392</v>
      </c>
      <c r="Q9" s="30">
        <v>394.4</v>
      </c>
      <c r="R9" s="33">
        <v>5.3332699000000003</v>
      </c>
      <c r="S9" s="46">
        <f t="shared" si="5"/>
        <v>1.0309278350515463</v>
      </c>
      <c r="T9" s="46">
        <f t="shared" si="6"/>
        <v>1.6494845360824684</v>
      </c>
      <c r="U9" s="50">
        <f>IF($I9&lt;$P9,1,0)</f>
        <v>1</v>
      </c>
      <c r="V9" s="50">
        <f>IF($I9=$P9,1,0)</f>
        <v>0</v>
      </c>
      <c r="W9" s="50">
        <f>IF($I9&gt;$P9,1,0)</f>
        <v>0</v>
      </c>
    </row>
    <row r="10" spans="1:23" s="47" customFormat="1" x14ac:dyDescent="0.6">
      <c r="A10" s="41" t="s">
        <v>9</v>
      </c>
      <c r="B10" s="50">
        <v>20</v>
      </c>
      <c r="C10" s="51" t="s">
        <v>970</v>
      </c>
      <c r="D10" s="25" t="s">
        <v>976</v>
      </c>
      <c r="E10" s="25" t="s">
        <v>980</v>
      </c>
      <c r="F10" s="50">
        <v>9</v>
      </c>
      <c r="G10" s="50">
        <f t="shared" si="1"/>
        <v>406</v>
      </c>
      <c r="H10" s="57">
        <v>498</v>
      </c>
      <c r="I10" s="32">
        <v>406</v>
      </c>
      <c r="J10" s="32">
        <v>406</v>
      </c>
      <c r="K10" s="32">
        <v>2.0099999999999998</v>
      </c>
      <c r="L10" s="46">
        <f t="shared" si="2"/>
        <v>22.660098522167488</v>
      </c>
      <c r="M10" s="46">
        <f t="shared" si="3"/>
        <v>0</v>
      </c>
      <c r="N10" s="46">
        <f t="shared" si="4"/>
        <v>0</v>
      </c>
      <c r="O10" s="41" t="s">
        <v>1</v>
      </c>
      <c r="P10" s="50">
        <v>406</v>
      </c>
      <c r="Q10" s="30">
        <v>411.2</v>
      </c>
      <c r="R10" s="33">
        <v>6.2450918599999996</v>
      </c>
      <c r="S10" s="46">
        <f t="shared" si="5"/>
        <v>0</v>
      </c>
      <c r="T10" s="46">
        <f t="shared" si="6"/>
        <v>1.2807881773398988</v>
      </c>
      <c r="U10" s="50">
        <f>IF($I10&lt;$P10,1,0)</f>
        <v>0</v>
      </c>
      <c r="V10" s="50">
        <f>IF($I10=$P10,1,0)</f>
        <v>1</v>
      </c>
      <c r="W10" s="50">
        <f>IF($I10&gt;$P10,1,0)</f>
        <v>0</v>
      </c>
    </row>
    <row r="11" spans="1:23" s="47" customFormat="1" x14ac:dyDescent="0.6">
      <c r="A11" s="41" t="s">
        <v>10</v>
      </c>
      <c r="B11" s="50">
        <v>20</v>
      </c>
      <c r="C11" s="51" t="s">
        <v>970</v>
      </c>
      <c r="D11" s="25" t="s">
        <v>976</v>
      </c>
      <c r="E11" s="25" t="s">
        <v>980</v>
      </c>
      <c r="F11" s="50">
        <v>10</v>
      </c>
      <c r="G11" s="50">
        <f t="shared" si="1"/>
        <v>393</v>
      </c>
      <c r="H11" s="57">
        <v>467</v>
      </c>
      <c r="I11" s="32">
        <v>393</v>
      </c>
      <c r="J11" s="32">
        <v>393</v>
      </c>
      <c r="K11" s="32">
        <v>2.0099999999999998</v>
      </c>
      <c r="L11" s="46">
        <f t="shared" si="2"/>
        <v>18.829516539440203</v>
      </c>
      <c r="M11" s="46">
        <f t="shared" si="3"/>
        <v>0</v>
      </c>
      <c r="N11" s="46">
        <f t="shared" si="4"/>
        <v>0</v>
      </c>
      <c r="O11" s="41" t="s">
        <v>1</v>
      </c>
      <c r="P11" s="50">
        <v>398</v>
      </c>
      <c r="Q11" s="30">
        <v>400.6</v>
      </c>
      <c r="R11" s="33">
        <v>5.1286061600000004</v>
      </c>
      <c r="S11" s="46">
        <f t="shared" si="5"/>
        <v>1.2722646310432568</v>
      </c>
      <c r="T11" s="46">
        <f t="shared" si="6"/>
        <v>1.9338422391857564</v>
      </c>
      <c r="U11" s="50">
        <f>IF($I11&lt;$P11,1,0)</f>
        <v>1</v>
      </c>
      <c r="V11" s="50">
        <f>IF($I11=$P11,1,0)</f>
        <v>0</v>
      </c>
      <c r="W11" s="50">
        <f>IF($I11&gt;$P11,1,0)</f>
        <v>0</v>
      </c>
    </row>
    <row r="12" spans="1:23" s="47" customFormat="1" x14ac:dyDescent="0.6">
      <c r="A12" s="41" t="s">
        <v>11</v>
      </c>
      <c r="B12" s="50">
        <v>20</v>
      </c>
      <c r="C12" s="51" t="s">
        <v>970</v>
      </c>
      <c r="D12" s="25" t="s">
        <v>976</v>
      </c>
      <c r="E12" s="25" t="s">
        <v>984</v>
      </c>
      <c r="F12" s="50">
        <v>1</v>
      </c>
      <c r="G12" s="50">
        <f t="shared" si="1"/>
        <v>386</v>
      </c>
      <c r="H12" s="57">
        <v>463</v>
      </c>
      <c r="I12" s="32">
        <v>386</v>
      </c>
      <c r="J12" s="32">
        <v>386</v>
      </c>
      <c r="K12" s="32">
        <v>2.0099999999999998</v>
      </c>
      <c r="L12" s="46">
        <f t="shared" si="2"/>
        <v>19.948186528497409</v>
      </c>
      <c r="M12" s="46">
        <f t="shared" si="3"/>
        <v>0</v>
      </c>
      <c r="N12" s="46">
        <f t="shared" si="4"/>
        <v>0</v>
      </c>
      <c r="O12" s="41" t="s">
        <v>1</v>
      </c>
      <c r="P12" s="50">
        <v>390</v>
      </c>
      <c r="Q12" s="30">
        <v>391</v>
      </c>
      <c r="R12" s="33">
        <v>5.2343409000000003</v>
      </c>
      <c r="S12" s="46">
        <f t="shared" si="5"/>
        <v>1.0362694300518136</v>
      </c>
      <c r="T12" s="46">
        <f t="shared" si="6"/>
        <v>1.2953367875647668</v>
      </c>
      <c r="U12" s="50">
        <f>IF($I12&lt;$P12,1,0)</f>
        <v>1</v>
      </c>
      <c r="V12" s="50">
        <f>IF($I12=$P12,1,0)</f>
        <v>0</v>
      </c>
      <c r="W12" s="50">
        <f>IF($I12&gt;$P12,1,0)</f>
        <v>0</v>
      </c>
    </row>
    <row r="13" spans="1:23" s="47" customFormat="1" x14ac:dyDescent="0.6">
      <c r="A13" s="47" t="s">
        <v>12</v>
      </c>
      <c r="B13" s="50">
        <v>20</v>
      </c>
      <c r="C13" s="51" t="s">
        <v>970</v>
      </c>
      <c r="D13" s="25" t="s">
        <v>976</v>
      </c>
      <c r="E13" s="25" t="s">
        <v>984</v>
      </c>
      <c r="F13" s="50">
        <v>2</v>
      </c>
      <c r="G13" s="50">
        <f t="shared" si="1"/>
        <v>369</v>
      </c>
      <c r="H13" s="57">
        <v>519</v>
      </c>
      <c r="I13" s="32">
        <v>369</v>
      </c>
      <c r="J13" s="32">
        <v>369.4</v>
      </c>
      <c r="K13" s="32">
        <v>2.0099999999999998</v>
      </c>
      <c r="L13" s="46">
        <f t="shared" si="2"/>
        <v>40.650406504065039</v>
      </c>
      <c r="M13" s="46">
        <f t="shared" si="3"/>
        <v>0</v>
      </c>
      <c r="N13" s="46">
        <f t="shared" si="4"/>
        <v>0.10840108401083395</v>
      </c>
      <c r="O13" s="47" t="s">
        <v>1</v>
      </c>
      <c r="P13" s="50">
        <v>372</v>
      </c>
      <c r="Q13" s="30">
        <v>374.2</v>
      </c>
      <c r="R13" s="33">
        <v>5.0954650399999997</v>
      </c>
      <c r="S13" s="46">
        <f t="shared" si="5"/>
        <v>0.81300813008130091</v>
      </c>
      <c r="T13" s="46">
        <f t="shared" si="6"/>
        <v>1.4092140921409182</v>
      </c>
      <c r="U13" s="50">
        <f>IF($I13&lt;$P13,1,0)</f>
        <v>1</v>
      </c>
      <c r="V13" s="50">
        <f>IF($I13=$P13,1,0)</f>
        <v>0</v>
      </c>
      <c r="W13" s="50">
        <f>IF($I13&gt;$P13,1,0)</f>
        <v>0</v>
      </c>
    </row>
    <row r="14" spans="1:23" s="47" customFormat="1" x14ac:dyDescent="0.6">
      <c r="A14" s="47" t="s">
        <v>13</v>
      </c>
      <c r="B14" s="50">
        <v>20</v>
      </c>
      <c r="C14" s="51" t="s">
        <v>970</v>
      </c>
      <c r="D14" s="25" t="s">
        <v>976</v>
      </c>
      <c r="E14" s="25" t="s">
        <v>982</v>
      </c>
      <c r="F14" s="50">
        <v>3</v>
      </c>
      <c r="G14" s="50">
        <f t="shared" si="1"/>
        <v>385</v>
      </c>
      <c r="H14" s="57">
        <v>629</v>
      </c>
      <c r="I14" s="32">
        <v>385</v>
      </c>
      <c r="J14" s="32">
        <v>385</v>
      </c>
      <c r="K14" s="32">
        <v>2</v>
      </c>
      <c r="L14" s="46">
        <f t="shared" si="2"/>
        <v>63.376623376623378</v>
      </c>
      <c r="M14" s="46">
        <f t="shared" si="3"/>
        <v>0</v>
      </c>
      <c r="N14" s="46">
        <f t="shared" si="4"/>
        <v>0</v>
      </c>
      <c r="O14" s="47" t="s">
        <v>1</v>
      </c>
      <c r="P14" s="50">
        <v>387</v>
      </c>
      <c r="Q14" s="30">
        <v>389.2</v>
      </c>
      <c r="R14" s="33">
        <v>5.3709070399999996</v>
      </c>
      <c r="S14" s="46">
        <f t="shared" si="5"/>
        <v>0.51948051948051943</v>
      </c>
      <c r="T14" s="46">
        <f t="shared" si="6"/>
        <v>1.0909090909090879</v>
      </c>
      <c r="U14" s="50">
        <f>IF($I14&lt;$P14,1,0)</f>
        <v>1</v>
      </c>
      <c r="V14" s="50">
        <f>IF($I14=$P14,1,0)</f>
        <v>0</v>
      </c>
      <c r="W14" s="50">
        <f>IF($I14&gt;$P14,1,0)</f>
        <v>0</v>
      </c>
    </row>
    <row r="15" spans="1:23" s="47" customFormat="1" x14ac:dyDescent="0.6">
      <c r="A15" s="41" t="s">
        <v>14</v>
      </c>
      <c r="B15" s="50">
        <v>20</v>
      </c>
      <c r="C15" s="51" t="s">
        <v>970</v>
      </c>
      <c r="D15" s="25" t="s">
        <v>976</v>
      </c>
      <c r="E15" s="25" t="s">
        <v>982</v>
      </c>
      <c r="F15" s="50">
        <v>4</v>
      </c>
      <c r="G15" s="50">
        <f t="shared" si="1"/>
        <v>396</v>
      </c>
      <c r="H15" s="57">
        <v>548</v>
      </c>
      <c r="I15" s="32">
        <v>396</v>
      </c>
      <c r="J15" s="32">
        <v>396</v>
      </c>
      <c r="K15" s="32">
        <v>2.0099999999999998</v>
      </c>
      <c r="L15" s="46">
        <f t="shared" si="2"/>
        <v>38.383838383838381</v>
      </c>
      <c r="M15" s="46">
        <f t="shared" si="3"/>
        <v>0</v>
      </c>
      <c r="N15" s="46">
        <f t="shared" si="4"/>
        <v>0</v>
      </c>
      <c r="O15" s="41" t="s">
        <v>1</v>
      </c>
      <c r="P15" s="50">
        <v>400</v>
      </c>
      <c r="Q15" s="30">
        <v>402.6</v>
      </c>
      <c r="R15" s="33">
        <v>4.9389656999999998</v>
      </c>
      <c r="S15" s="46">
        <f t="shared" si="5"/>
        <v>1.0101010101010102</v>
      </c>
      <c r="T15" s="46">
        <f t="shared" si="6"/>
        <v>1.6666666666666725</v>
      </c>
      <c r="U15" s="50">
        <f>IF($I15&lt;$P15,1,0)</f>
        <v>1</v>
      </c>
      <c r="V15" s="50">
        <f>IF($I15=$P15,1,0)</f>
        <v>0</v>
      </c>
      <c r="W15" s="50">
        <f>IF($I15&gt;$P15,1,0)</f>
        <v>0</v>
      </c>
    </row>
    <row r="16" spans="1:23" s="47" customFormat="1" x14ac:dyDescent="0.6">
      <c r="A16" s="47" t="s">
        <v>398</v>
      </c>
      <c r="B16" s="50">
        <v>20</v>
      </c>
      <c r="C16" s="51" t="s">
        <v>970</v>
      </c>
      <c r="D16" s="25" t="s">
        <v>976</v>
      </c>
      <c r="E16" s="25" t="s">
        <v>982</v>
      </c>
      <c r="F16" s="50">
        <v>5</v>
      </c>
      <c r="G16" s="50">
        <f t="shared" si="1"/>
        <v>375</v>
      </c>
      <c r="H16" s="57">
        <v>623</v>
      </c>
      <c r="I16" s="32">
        <v>375</v>
      </c>
      <c r="J16" s="32">
        <v>375.6</v>
      </c>
      <c r="K16" s="32">
        <v>2.0099999999999998</v>
      </c>
      <c r="L16" s="46">
        <f t="shared" si="2"/>
        <v>66.133333333333326</v>
      </c>
      <c r="M16" s="46">
        <f t="shared" si="3"/>
        <v>0</v>
      </c>
      <c r="N16" s="46">
        <f t="shared" si="4"/>
        <v>0.16000000000000605</v>
      </c>
      <c r="O16" s="47" t="s">
        <v>1</v>
      </c>
      <c r="P16" s="50">
        <v>380</v>
      </c>
      <c r="Q16" s="30">
        <v>383.2</v>
      </c>
      <c r="R16" s="33">
        <v>5.0490368200000004</v>
      </c>
      <c r="S16" s="46">
        <f t="shared" si="5"/>
        <v>1.3333333333333335</v>
      </c>
      <c r="T16" s="46">
        <f t="shared" si="6"/>
        <v>2.1866666666666634</v>
      </c>
      <c r="U16" s="50">
        <f>IF($I16&lt;$P16,1,0)</f>
        <v>1</v>
      </c>
      <c r="V16" s="50">
        <f>IF($I16=$P16,1,0)</f>
        <v>0</v>
      </c>
      <c r="W16" s="50">
        <f>IF($I16&gt;$P16,1,0)</f>
        <v>0</v>
      </c>
    </row>
    <row r="17" spans="1:23" s="47" customFormat="1" x14ac:dyDescent="0.6">
      <c r="A17" s="47" t="s">
        <v>15</v>
      </c>
      <c r="B17" s="50">
        <v>20</v>
      </c>
      <c r="C17" s="51" t="s">
        <v>970</v>
      </c>
      <c r="D17" s="25" t="s">
        <v>976</v>
      </c>
      <c r="E17" s="25" t="s">
        <v>982</v>
      </c>
      <c r="F17" s="50">
        <v>6</v>
      </c>
      <c r="G17" s="50">
        <f t="shared" si="1"/>
        <v>415</v>
      </c>
      <c r="H17" s="57">
        <v>600</v>
      </c>
      <c r="I17" s="32">
        <v>415</v>
      </c>
      <c r="J17" s="32">
        <v>415</v>
      </c>
      <c r="K17" s="32">
        <v>2.0099999999999998</v>
      </c>
      <c r="L17" s="46">
        <f t="shared" si="2"/>
        <v>44.578313253012048</v>
      </c>
      <c r="M17" s="46">
        <f t="shared" si="3"/>
        <v>0</v>
      </c>
      <c r="N17" s="46">
        <f t="shared" si="4"/>
        <v>0</v>
      </c>
      <c r="O17" s="47" t="s">
        <v>1</v>
      </c>
      <c r="P17" s="50">
        <v>418</v>
      </c>
      <c r="Q17" s="30">
        <v>421.8</v>
      </c>
      <c r="R17" s="33">
        <v>5.0519981600000001</v>
      </c>
      <c r="S17" s="46">
        <f t="shared" si="5"/>
        <v>0.72289156626506024</v>
      </c>
      <c r="T17" s="46">
        <f t="shared" si="6"/>
        <v>1.6385542168674727</v>
      </c>
      <c r="U17" s="50">
        <f>IF($I17&lt;$P17,1,0)</f>
        <v>1</v>
      </c>
      <c r="V17" s="50">
        <f>IF($I17=$P17,1,0)</f>
        <v>0</v>
      </c>
      <c r="W17" s="50">
        <f>IF($I17&gt;$P17,1,0)</f>
        <v>0</v>
      </c>
    </row>
    <row r="18" spans="1:23" s="47" customFormat="1" x14ac:dyDescent="0.6">
      <c r="A18" s="47" t="s">
        <v>16</v>
      </c>
      <c r="B18" s="50">
        <v>20</v>
      </c>
      <c r="C18" s="51" t="s">
        <v>970</v>
      </c>
      <c r="D18" s="25" t="s">
        <v>976</v>
      </c>
      <c r="E18" s="25" t="s">
        <v>982</v>
      </c>
      <c r="F18" s="50">
        <v>7</v>
      </c>
      <c r="G18" s="50">
        <f t="shared" si="1"/>
        <v>396</v>
      </c>
      <c r="H18" s="57">
        <v>517</v>
      </c>
      <c r="I18" s="32">
        <v>396</v>
      </c>
      <c r="J18" s="32">
        <v>396</v>
      </c>
      <c r="K18" s="32">
        <v>2.0099999999999998</v>
      </c>
      <c r="L18" s="46">
        <f t="shared" si="2"/>
        <v>30.555555555555557</v>
      </c>
      <c r="M18" s="46">
        <f t="shared" si="3"/>
        <v>0</v>
      </c>
      <c r="N18" s="46">
        <f t="shared" si="4"/>
        <v>0</v>
      </c>
      <c r="O18" s="47" t="s">
        <v>1</v>
      </c>
      <c r="P18" s="50">
        <v>400</v>
      </c>
      <c r="Q18" s="30">
        <v>401.4</v>
      </c>
      <c r="R18" s="33">
        <v>5.0223821800000001</v>
      </c>
      <c r="S18" s="46">
        <f t="shared" si="5"/>
        <v>1.0101010101010102</v>
      </c>
      <c r="T18" s="46">
        <f t="shared" si="6"/>
        <v>1.3636363636363578</v>
      </c>
      <c r="U18" s="50">
        <f>IF($I18&lt;$P18,1,0)</f>
        <v>1</v>
      </c>
      <c r="V18" s="50">
        <f>IF($I18=$P18,1,0)</f>
        <v>0</v>
      </c>
      <c r="W18" s="50">
        <f>IF($I18&gt;$P18,1,0)</f>
        <v>0</v>
      </c>
    </row>
    <row r="19" spans="1:23" s="47" customFormat="1" x14ac:dyDescent="0.6">
      <c r="A19" s="47" t="s">
        <v>17</v>
      </c>
      <c r="B19" s="50">
        <v>20</v>
      </c>
      <c r="C19" s="51" t="s">
        <v>970</v>
      </c>
      <c r="D19" s="25" t="s">
        <v>976</v>
      </c>
      <c r="E19" s="25" t="s">
        <v>982</v>
      </c>
      <c r="F19" s="50">
        <v>8</v>
      </c>
      <c r="G19" s="50">
        <f t="shared" si="1"/>
        <v>390</v>
      </c>
      <c r="H19" s="57">
        <v>596</v>
      </c>
      <c r="I19" s="32">
        <v>390</v>
      </c>
      <c r="J19" s="32">
        <v>390</v>
      </c>
      <c r="K19" s="32">
        <v>2.0099999999999998</v>
      </c>
      <c r="L19" s="46">
        <f t="shared" si="2"/>
        <v>52.820512820512825</v>
      </c>
      <c r="M19" s="46">
        <f t="shared" si="3"/>
        <v>0</v>
      </c>
      <c r="N19" s="46">
        <f t="shared" si="4"/>
        <v>0</v>
      </c>
      <c r="O19" s="47" t="s">
        <v>1</v>
      </c>
      <c r="P19" s="50">
        <v>392</v>
      </c>
      <c r="Q19" s="30">
        <v>394.8</v>
      </c>
      <c r="R19" s="33">
        <v>5.42935342</v>
      </c>
      <c r="S19" s="46">
        <f t="shared" si="5"/>
        <v>0.51282051282051277</v>
      </c>
      <c r="T19" s="46">
        <f t="shared" si="6"/>
        <v>1.2307692307692337</v>
      </c>
      <c r="U19" s="50">
        <f>IF($I19&lt;$P19,1,0)</f>
        <v>1</v>
      </c>
      <c r="V19" s="50">
        <f>IF($I19=$P19,1,0)</f>
        <v>0</v>
      </c>
      <c r="W19" s="50">
        <f>IF($I19&gt;$P19,1,0)</f>
        <v>0</v>
      </c>
    </row>
    <row r="20" spans="1:23" s="47" customFormat="1" x14ac:dyDescent="0.6">
      <c r="A20" s="47" t="s">
        <v>400</v>
      </c>
      <c r="B20" s="50">
        <v>20</v>
      </c>
      <c r="C20" s="51" t="s">
        <v>970</v>
      </c>
      <c r="D20" s="25" t="s">
        <v>976</v>
      </c>
      <c r="E20" s="25" t="s">
        <v>982</v>
      </c>
      <c r="F20" s="50">
        <v>9</v>
      </c>
      <c r="G20" s="50">
        <f t="shared" si="1"/>
        <v>414</v>
      </c>
      <c r="H20" s="57">
        <v>576</v>
      </c>
      <c r="I20" s="32">
        <v>414</v>
      </c>
      <c r="J20" s="32">
        <v>414</v>
      </c>
      <c r="K20" s="32">
        <v>2.0099999999999998</v>
      </c>
      <c r="L20" s="46">
        <f t="shared" si="2"/>
        <v>39.130434782608695</v>
      </c>
      <c r="M20" s="46">
        <f t="shared" si="3"/>
        <v>0</v>
      </c>
      <c r="N20" s="46">
        <f t="shared" si="4"/>
        <v>0</v>
      </c>
      <c r="O20" s="47" t="s">
        <v>1</v>
      </c>
      <c r="P20" s="50">
        <v>416</v>
      </c>
      <c r="Q20" s="30">
        <v>419.2</v>
      </c>
      <c r="R20" s="33">
        <v>6.4364249999999998</v>
      </c>
      <c r="S20" s="46">
        <f t="shared" si="5"/>
        <v>0.48309178743961351</v>
      </c>
      <c r="T20" s="46">
        <f t="shared" si="6"/>
        <v>1.2560386473429923</v>
      </c>
      <c r="U20" s="50">
        <f>IF($I20&lt;$P20,1,0)</f>
        <v>1</v>
      </c>
      <c r="V20" s="50">
        <f>IF($I20=$P20,1,0)</f>
        <v>0</v>
      </c>
      <c r="W20" s="50">
        <f>IF($I20&gt;$P20,1,0)</f>
        <v>0</v>
      </c>
    </row>
    <row r="21" spans="1:23" s="47" customFormat="1" x14ac:dyDescent="0.6">
      <c r="A21" s="41" t="s">
        <v>18</v>
      </c>
      <c r="B21" s="50">
        <v>20</v>
      </c>
      <c r="C21" s="51" t="s">
        <v>970</v>
      </c>
      <c r="D21" s="25" t="s">
        <v>976</v>
      </c>
      <c r="E21" s="25" t="s">
        <v>982</v>
      </c>
      <c r="F21" s="50">
        <v>10</v>
      </c>
      <c r="G21" s="50">
        <f t="shared" si="1"/>
        <v>393</v>
      </c>
      <c r="H21" s="57">
        <v>547</v>
      </c>
      <c r="I21" s="32">
        <v>393</v>
      </c>
      <c r="J21" s="32">
        <v>393</v>
      </c>
      <c r="K21" s="32">
        <v>2.0099999999999998</v>
      </c>
      <c r="L21" s="46">
        <f t="shared" si="2"/>
        <v>39.185750636132319</v>
      </c>
      <c r="M21" s="46">
        <f t="shared" si="3"/>
        <v>0</v>
      </c>
      <c r="N21" s="46">
        <f t="shared" si="4"/>
        <v>0</v>
      </c>
      <c r="O21" s="41" t="s">
        <v>1</v>
      </c>
      <c r="P21" s="50">
        <v>398</v>
      </c>
      <c r="Q21" s="30">
        <v>399.6</v>
      </c>
      <c r="R21" s="33">
        <v>5.0807165999999997</v>
      </c>
      <c r="S21" s="46">
        <f t="shared" si="5"/>
        <v>1.2722646310432568</v>
      </c>
      <c r="T21" s="46">
        <f t="shared" si="6"/>
        <v>1.6793893129771049</v>
      </c>
      <c r="U21" s="50">
        <f>IF($I21&lt;$P21,1,0)</f>
        <v>1</v>
      </c>
      <c r="V21" s="50">
        <f>IF($I21=$P21,1,0)</f>
        <v>0</v>
      </c>
      <c r="W21" s="50">
        <f>IF($I21&gt;$P21,1,0)</f>
        <v>0</v>
      </c>
    </row>
    <row r="22" spans="1:23" s="47" customFormat="1" x14ac:dyDescent="0.6">
      <c r="A22" s="41" t="s">
        <v>19</v>
      </c>
      <c r="B22" s="50">
        <v>20</v>
      </c>
      <c r="C22" s="51" t="s">
        <v>970</v>
      </c>
      <c r="D22" s="25" t="s">
        <v>979</v>
      </c>
      <c r="E22" s="25" t="s">
        <v>981</v>
      </c>
      <c r="F22" s="50">
        <v>1</v>
      </c>
      <c r="G22" s="50">
        <f t="shared" si="1"/>
        <v>481</v>
      </c>
      <c r="H22" s="57">
        <v>520</v>
      </c>
      <c r="I22" s="32">
        <v>481</v>
      </c>
      <c r="J22" s="32">
        <v>481</v>
      </c>
      <c r="K22" s="32">
        <v>2.0099999999999998</v>
      </c>
      <c r="L22" s="46">
        <f t="shared" si="2"/>
        <v>8.1081081081081088</v>
      </c>
      <c r="M22" s="46">
        <f t="shared" si="3"/>
        <v>0</v>
      </c>
      <c r="N22" s="46">
        <f t="shared" si="4"/>
        <v>0</v>
      </c>
      <c r="O22" s="41" t="s">
        <v>1</v>
      </c>
      <c r="P22" s="50">
        <v>484</v>
      </c>
      <c r="Q22" s="30">
        <v>487.4</v>
      </c>
      <c r="R22" s="33">
        <v>5.14467944</v>
      </c>
      <c r="S22" s="46">
        <f t="shared" si="5"/>
        <v>0.62370062370062374</v>
      </c>
      <c r="T22" s="46">
        <f t="shared" si="6"/>
        <v>1.3305613305613258</v>
      </c>
      <c r="U22" s="50">
        <f>IF($I22&lt;$P22,1,0)</f>
        <v>1</v>
      </c>
      <c r="V22" s="50">
        <f>IF($I22=$P22,1,0)</f>
        <v>0</v>
      </c>
      <c r="W22" s="50">
        <f>IF($I22&gt;$P22,1,0)</f>
        <v>0</v>
      </c>
    </row>
    <row r="23" spans="1:23" s="47" customFormat="1" x14ac:dyDescent="0.6">
      <c r="A23" s="41" t="s">
        <v>20</v>
      </c>
      <c r="B23" s="50">
        <v>20</v>
      </c>
      <c r="C23" s="51" t="s">
        <v>970</v>
      </c>
      <c r="D23" s="25" t="s">
        <v>979</v>
      </c>
      <c r="E23" s="25" t="s">
        <v>983</v>
      </c>
      <c r="F23" s="50">
        <v>2</v>
      </c>
      <c r="G23" s="50">
        <f t="shared" si="1"/>
        <v>464</v>
      </c>
      <c r="H23" s="57">
        <v>525</v>
      </c>
      <c r="I23" s="32">
        <v>464</v>
      </c>
      <c r="J23" s="32">
        <v>464</v>
      </c>
      <c r="K23" s="32">
        <v>2.0099999999999998</v>
      </c>
      <c r="L23" s="46">
        <f t="shared" si="2"/>
        <v>13.146551724137931</v>
      </c>
      <c r="M23" s="46">
        <f t="shared" si="3"/>
        <v>0</v>
      </c>
      <c r="N23" s="46">
        <f t="shared" si="4"/>
        <v>0</v>
      </c>
      <c r="O23" s="41" t="s">
        <v>1</v>
      </c>
      <c r="P23" s="50">
        <v>467</v>
      </c>
      <c r="Q23" s="30">
        <v>468.2</v>
      </c>
      <c r="R23" s="33">
        <v>5.0991895600000001</v>
      </c>
      <c r="S23" s="46">
        <f t="shared" si="5"/>
        <v>0.64655172413793105</v>
      </c>
      <c r="T23" s="46">
        <f t="shared" si="6"/>
        <v>0.90517241379310087</v>
      </c>
      <c r="U23" s="50">
        <f>IF($I23&lt;$P23,1,0)</f>
        <v>1</v>
      </c>
      <c r="V23" s="50">
        <f>IF($I23=$P23,1,0)</f>
        <v>0</v>
      </c>
      <c r="W23" s="50">
        <f>IF($I23&gt;$P23,1,0)</f>
        <v>0</v>
      </c>
    </row>
    <row r="24" spans="1:23" s="47" customFormat="1" x14ac:dyDescent="0.6">
      <c r="A24" s="41" t="s">
        <v>21</v>
      </c>
      <c r="B24" s="50">
        <v>20</v>
      </c>
      <c r="C24" s="51" t="s">
        <v>970</v>
      </c>
      <c r="D24" s="25" t="s">
        <v>978</v>
      </c>
      <c r="E24" s="25" t="s">
        <v>980</v>
      </c>
      <c r="F24" s="50">
        <v>3</v>
      </c>
      <c r="G24" s="50">
        <f t="shared" si="1"/>
        <v>479</v>
      </c>
      <c r="H24" s="57">
        <v>599</v>
      </c>
      <c r="I24" s="32">
        <v>479</v>
      </c>
      <c r="J24" s="32">
        <v>479</v>
      </c>
      <c r="K24" s="32">
        <v>2.0099999999999998</v>
      </c>
      <c r="L24" s="46">
        <f t="shared" si="2"/>
        <v>25.052192066805844</v>
      </c>
      <c r="M24" s="46">
        <f t="shared" si="3"/>
        <v>0</v>
      </c>
      <c r="N24" s="46">
        <f t="shared" si="4"/>
        <v>0</v>
      </c>
      <c r="O24" s="41" t="s">
        <v>1</v>
      </c>
      <c r="P24" s="50">
        <v>482</v>
      </c>
      <c r="Q24" s="30">
        <v>484.8</v>
      </c>
      <c r="R24" s="33">
        <v>5.1751854599999998</v>
      </c>
      <c r="S24" s="46">
        <f t="shared" si="5"/>
        <v>0.62630480167014613</v>
      </c>
      <c r="T24" s="46">
        <f t="shared" si="6"/>
        <v>1.2108559498956182</v>
      </c>
      <c r="U24" s="50">
        <f>IF($I24&lt;$P24,1,0)</f>
        <v>1</v>
      </c>
      <c r="V24" s="50">
        <f>IF($I24=$P24,1,0)</f>
        <v>0</v>
      </c>
      <c r="W24" s="50">
        <f>IF($I24&gt;$P24,1,0)</f>
        <v>0</v>
      </c>
    </row>
    <row r="25" spans="1:23" s="47" customFormat="1" x14ac:dyDescent="0.6">
      <c r="A25" s="41" t="s">
        <v>22</v>
      </c>
      <c r="B25" s="50">
        <v>20</v>
      </c>
      <c r="C25" s="51" t="s">
        <v>970</v>
      </c>
      <c r="D25" s="25" t="s">
        <v>978</v>
      </c>
      <c r="E25" s="25" t="s">
        <v>980</v>
      </c>
      <c r="F25" s="50">
        <v>4</v>
      </c>
      <c r="G25" s="50">
        <f t="shared" si="1"/>
        <v>490</v>
      </c>
      <c r="H25" s="57">
        <v>547</v>
      </c>
      <c r="I25" s="32">
        <v>490</v>
      </c>
      <c r="J25" s="32">
        <v>490.6</v>
      </c>
      <c r="K25" s="32">
        <v>2.0099999999999998</v>
      </c>
      <c r="L25" s="46">
        <f t="shared" si="2"/>
        <v>11.63265306122449</v>
      </c>
      <c r="M25" s="46">
        <f t="shared" si="3"/>
        <v>0</v>
      </c>
      <c r="N25" s="46">
        <f t="shared" si="4"/>
        <v>0.12244897959184137</v>
      </c>
      <c r="O25" s="41" t="s">
        <v>1</v>
      </c>
      <c r="P25" s="50">
        <v>492</v>
      </c>
      <c r="Q25" s="30">
        <v>494.2</v>
      </c>
      <c r="R25" s="33">
        <v>4.85454308</v>
      </c>
      <c r="S25" s="46">
        <f t="shared" si="5"/>
        <v>0.40816326530612246</v>
      </c>
      <c r="T25" s="46">
        <f t="shared" si="6"/>
        <v>0.85714285714285476</v>
      </c>
      <c r="U25" s="50">
        <f>IF($I25&lt;$P25,1,0)</f>
        <v>1</v>
      </c>
      <c r="V25" s="50">
        <f>IF($I25=$P25,1,0)</f>
        <v>0</v>
      </c>
      <c r="W25" s="50">
        <f>IF($I25&gt;$P25,1,0)</f>
        <v>0</v>
      </c>
    </row>
    <row r="26" spans="1:23" s="47" customFormat="1" x14ac:dyDescent="0.6">
      <c r="A26" s="41" t="s">
        <v>23</v>
      </c>
      <c r="B26" s="50">
        <v>20</v>
      </c>
      <c r="C26" s="51" t="s">
        <v>970</v>
      </c>
      <c r="D26" s="25" t="s">
        <v>978</v>
      </c>
      <c r="E26" s="25" t="s">
        <v>980</v>
      </c>
      <c r="F26" s="50">
        <v>5</v>
      </c>
      <c r="G26" s="50">
        <f t="shared" si="1"/>
        <v>469</v>
      </c>
      <c r="H26" s="57">
        <v>593</v>
      </c>
      <c r="I26" s="32">
        <v>469</v>
      </c>
      <c r="J26" s="32">
        <v>469</v>
      </c>
      <c r="K26" s="32">
        <v>2.0099999999999998</v>
      </c>
      <c r="L26" s="46">
        <f t="shared" si="2"/>
        <v>26.439232409381663</v>
      </c>
      <c r="M26" s="46">
        <f t="shared" si="3"/>
        <v>0</v>
      </c>
      <c r="N26" s="46">
        <f t="shared" si="4"/>
        <v>0</v>
      </c>
      <c r="O26" s="41" t="s">
        <v>1</v>
      </c>
      <c r="P26" s="50">
        <v>473</v>
      </c>
      <c r="Q26" s="30">
        <v>474.2</v>
      </c>
      <c r="R26" s="33">
        <v>5.1704769400000004</v>
      </c>
      <c r="S26" s="46">
        <f t="shared" si="5"/>
        <v>0.85287846481876328</v>
      </c>
      <c r="T26" s="46">
        <f t="shared" si="6"/>
        <v>1.1087420042643898</v>
      </c>
      <c r="U26" s="50">
        <f>IF($I26&lt;$P26,1,0)</f>
        <v>1</v>
      </c>
      <c r="V26" s="50">
        <f>IF($I26=$P26,1,0)</f>
        <v>0</v>
      </c>
      <c r="W26" s="50">
        <f>IF($I26&gt;$P26,1,0)</f>
        <v>0</v>
      </c>
    </row>
    <row r="27" spans="1:23" s="47" customFormat="1" x14ac:dyDescent="0.6">
      <c r="A27" s="41" t="s">
        <v>24</v>
      </c>
      <c r="B27" s="50">
        <v>20</v>
      </c>
      <c r="C27" s="51" t="s">
        <v>970</v>
      </c>
      <c r="D27" s="25" t="s">
        <v>978</v>
      </c>
      <c r="E27" s="25" t="s">
        <v>980</v>
      </c>
      <c r="F27" s="50">
        <v>6</v>
      </c>
      <c r="G27" s="50">
        <f t="shared" si="1"/>
        <v>510</v>
      </c>
      <c r="H27" s="57">
        <v>590</v>
      </c>
      <c r="I27" s="32">
        <v>510</v>
      </c>
      <c r="J27" s="32">
        <v>510</v>
      </c>
      <c r="K27" s="32">
        <v>2.0099999999999998</v>
      </c>
      <c r="L27" s="46">
        <f t="shared" si="2"/>
        <v>15.686274509803921</v>
      </c>
      <c r="M27" s="46">
        <f t="shared" si="3"/>
        <v>0</v>
      </c>
      <c r="N27" s="46">
        <f t="shared" si="4"/>
        <v>0</v>
      </c>
      <c r="O27" s="41" t="s">
        <v>1</v>
      </c>
      <c r="P27" s="50">
        <v>513</v>
      </c>
      <c r="Q27" s="30">
        <v>515.20000000000005</v>
      </c>
      <c r="R27" s="33">
        <v>4.9345848999999999</v>
      </c>
      <c r="S27" s="46">
        <f t="shared" si="5"/>
        <v>0.58823529411764708</v>
      </c>
      <c r="T27" s="46">
        <f t="shared" si="6"/>
        <v>1.0196078431372637</v>
      </c>
      <c r="U27" s="50">
        <f>IF($I27&lt;$P27,1,0)</f>
        <v>1</v>
      </c>
      <c r="V27" s="50">
        <f>IF($I27=$P27,1,0)</f>
        <v>0</v>
      </c>
      <c r="W27" s="50">
        <f>IF($I27&gt;$P27,1,0)</f>
        <v>0</v>
      </c>
    </row>
    <row r="28" spans="1:23" s="47" customFormat="1" x14ac:dyDescent="0.6">
      <c r="A28" s="41" t="s">
        <v>25</v>
      </c>
      <c r="B28" s="50">
        <v>20</v>
      </c>
      <c r="C28" s="51" t="s">
        <v>970</v>
      </c>
      <c r="D28" s="25" t="s">
        <v>978</v>
      </c>
      <c r="E28" s="25" t="s">
        <v>980</v>
      </c>
      <c r="F28" s="50">
        <v>7</v>
      </c>
      <c r="G28" s="50">
        <f t="shared" si="1"/>
        <v>491</v>
      </c>
      <c r="H28" s="57">
        <v>529</v>
      </c>
      <c r="I28" s="32">
        <v>491</v>
      </c>
      <c r="J28" s="32">
        <v>491</v>
      </c>
      <c r="K28" s="32">
        <v>2.0099999999999998</v>
      </c>
      <c r="L28" s="46">
        <f t="shared" si="2"/>
        <v>7.7393075356415473</v>
      </c>
      <c r="M28" s="46">
        <f t="shared" si="3"/>
        <v>0</v>
      </c>
      <c r="N28" s="46">
        <f t="shared" si="4"/>
        <v>0</v>
      </c>
      <c r="O28" s="41" t="s">
        <v>1</v>
      </c>
      <c r="P28" s="50">
        <v>493</v>
      </c>
      <c r="Q28" s="30">
        <v>495</v>
      </c>
      <c r="R28" s="33">
        <v>5.0337421200000003</v>
      </c>
      <c r="S28" s="46">
        <f t="shared" si="5"/>
        <v>0.40733197556008144</v>
      </c>
      <c r="T28" s="46">
        <f t="shared" si="6"/>
        <v>0.81466395112016288</v>
      </c>
      <c r="U28" s="50">
        <f>IF($I28&lt;$P28,1,0)</f>
        <v>1</v>
      </c>
      <c r="V28" s="50">
        <f>IF($I28=$P28,1,0)</f>
        <v>0</v>
      </c>
      <c r="W28" s="50">
        <f>IF($I28&gt;$P28,1,0)</f>
        <v>0</v>
      </c>
    </row>
    <row r="29" spans="1:23" s="47" customFormat="1" x14ac:dyDescent="0.6">
      <c r="A29" s="47" t="s">
        <v>26</v>
      </c>
      <c r="B29" s="50">
        <v>20</v>
      </c>
      <c r="C29" s="51" t="s">
        <v>970</v>
      </c>
      <c r="D29" s="25" t="s">
        <v>978</v>
      </c>
      <c r="E29" s="25" t="s">
        <v>980</v>
      </c>
      <c r="F29" s="50">
        <v>8</v>
      </c>
      <c r="G29" s="50">
        <f t="shared" si="1"/>
        <v>483</v>
      </c>
      <c r="H29" s="57">
        <v>569</v>
      </c>
      <c r="I29" s="32">
        <v>483</v>
      </c>
      <c r="J29" s="32">
        <v>483</v>
      </c>
      <c r="K29" s="32">
        <v>2.0099999999999998</v>
      </c>
      <c r="L29" s="46">
        <f t="shared" si="2"/>
        <v>17.805383022774325</v>
      </c>
      <c r="M29" s="46">
        <f t="shared" si="3"/>
        <v>0</v>
      </c>
      <c r="N29" s="46">
        <f t="shared" si="4"/>
        <v>0</v>
      </c>
      <c r="O29" s="47" t="s">
        <v>1</v>
      </c>
      <c r="P29" s="50">
        <v>487</v>
      </c>
      <c r="Q29" s="30">
        <v>488.4</v>
      </c>
      <c r="R29" s="33">
        <v>5.4960001800000002</v>
      </c>
      <c r="S29" s="46">
        <f t="shared" si="5"/>
        <v>0.82815734989648038</v>
      </c>
      <c r="T29" s="46">
        <f t="shared" si="6"/>
        <v>1.1180124223602437</v>
      </c>
      <c r="U29" s="50">
        <f>IF($I29&lt;$P29,1,0)</f>
        <v>1</v>
      </c>
      <c r="V29" s="50">
        <f>IF($I29=$P29,1,0)</f>
        <v>0</v>
      </c>
      <c r="W29" s="50">
        <f>IF($I29&gt;$P29,1,0)</f>
        <v>0</v>
      </c>
    </row>
    <row r="30" spans="1:23" s="47" customFormat="1" x14ac:dyDescent="0.6">
      <c r="A30" s="41" t="s">
        <v>27</v>
      </c>
      <c r="B30" s="50">
        <v>20</v>
      </c>
      <c r="C30" s="51" t="s">
        <v>970</v>
      </c>
      <c r="D30" s="25" t="s">
        <v>978</v>
      </c>
      <c r="E30" s="25" t="s">
        <v>980</v>
      </c>
      <c r="F30" s="50">
        <v>9</v>
      </c>
      <c r="G30" s="50">
        <f t="shared" si="1"/>
        <v>501</v>
      </c>
      <c r="H30" s="57">
        <v>578</v>
      </c>
      <c r="I30" s="32">
        <v>501</v>
      </c>
      <c r="J30" s="32">
        <v>501</v>
      </c>
      <c r="K30" s="32">
        <v>2.0099999999999998</v>
      </c>
      <c r="L30" s="46">
        <f t="shared" si="2"/>
        <v>15.369261477045908</v>
      </c>
      <c r="M30" s="46">
        <f t="shared" si="3"/>
        <v>0</v>
      </c>
      <c r="N30" s="46">
        <f t="shared" si="4"/>
        <v>0</v>
      </c>
      <c r="O30" s="41" t="s">
        <v>1</v>
      </c>
      <c r="P30" s="50">
        <v>502</v>
      </c>
      <c r="Q30" s="30">
        <v>504</v>
      </c>
      <c r="R30" s="33">
        <v>6.5444146200000004</v>
      </c>
      <c r="S30" s="46">
        <f t="shared" si="5"/>
        <v>0.19960079840319359</v>
      </c>
      <c r="T30" s="46">
        <f t="shared" si="6"/>
        <v>0.5988023952095809</v>
      </c>
      <c r="U30" s="50">
        <f>IF($I30&lt;$P30,1,0)</f>
        <v>1</v>
      </c>
      <c r="V30" s="50">
        <f>IF($I30=$P30,1,0)</f>
        <v>0</v>
      </c>
      <c r="W30" s="50">
        <f>IF($I30&gt;$P30,1,0)</f>
        <v>0</v>
      </c>
    </row>
    <row r="31" spans="1:23" s="47" customFormat="1" x14ac:dyDescent="0.6">
      <c r="A31" s="41" t="s">
        <v>28</v>
      </c>
      <c r="B31" s="50">
        <v>20</v>
      </c>
      <c r="C31" s="51" t="s">
        <v>970</v>
      </c>
      <c r="D31" s="25" t="s">
        <v>978</v>
      </c>
      <c r="E31" s="25" t="s">
        <v>980</v>
      </c>
      <c r="F31" s="50">
        <v>10</v>
      </c>
      <c r="G31" s="50">
        <f t="shared" si="1"/>
        <v>488</v>
      </c>
      <c r="H31" s="57">
        <v>542</v>
      </c>
      <c r="I31" s="32">
        <v>488</v>
      </c>
      <c r="J31" s="32">
        <v>488</v>
      </c>
      <c r="K31" s="32">
        <v>2.0099999999999998</v>
      </c>
      <c r="L31" s="46">
        <f t="shared" si="2"/>
        <v>11.065573770491802</v>
      </c>
      <c r="M31" s="46">
        <f t="shared" si="3"/>
        <v>0</v>
      </c>
      <c r="N31" s="46">
        <f t="shared" si="4"/>
        <v>0</v>
      </c>
      <c r="O31" s="41" t="s">
        <v>1</v>
      </c>
      <c r="P31" s="50">
        <v>491</v>
      </c>
      <c r="Q31" s="30">
        <v>494.2</v>
      </c>
      <c r="R31" s="33">
        <v>4.8941697</v>
      </c>
      <c r="S31" s="46">
        <f t="shared" si="5"/>
        <v>0.61475409836065575</v>
      </c>
      <c r="T31" s="46">
        <f t="shared" si="6"/>
        <v>1.2704918032786863</v>
      </c>
      <c r="U31" s="50">
        <f>IF($I31&lt;$P31,1,0)</f>
        <v>1</v>
      </c>
      <c r="V31" s="50">
        <f>IF($I31=$P31,1,0)</f>
        <v>0</v>
      </c>
      <c r="W31" s="50">
        <f>IF($I31&gt;$P31,1,0)</f>
        <v>0</v>
      </c>
    </row>
    <row r="32" spans="1:23" s="47" customFormat="1" x14ac:dyDescent="0.6">
      <c r="A32" s="41" t="s">
        <v>29</v>
      </c>
      <c r="B32" s="50">
        <v>20</v>
      </c>
      <c r="C32" s="51" t="s">
        <v>970</v>
      </c>
      <c r="D32" s="25" t="s">
        <v>978</v>
      </c>
      <c r="E32" s="25" t="s">
        <v>984</v>
      </c>
      <c r="F32" s="50">
        <v>1</v>
      </c>
      <c r="G32" s="50">
        <f t="shared" si="1"/>
        <v>481</v>
      </c>
      <c r="H32" s="57">
        <v>543</v>
      </c>
      <c r="I32" s="32">
        <v>481</v>
      </c>
      <c r="J32" s="32">
        <v>481</v>
      </c>
      <c r="K32" s="32">
        <v>2.0099999999999998</v>
      </c>
      <c r="L32" s="46">
        <f t="shared" si="2"/>
        <v>12.889812889812891</v>
      </c>
      <c r="M32" s="46">
        <f t="shared" si="3"/>
        <v>0</v>
      </c>
      <c r="N32" s="46">
        <f t="shared" si="4"/>
        <v>0</v>
      </c>
      <c r="O32" s="41" t="s">
        <v>1</v>
      </c>
      <c r="P32" s="50">
        <v>484</v>
      </c>
      <c r="Q32" s="30">
        <v>485</v>
      </c>
      <c r="R32" s="33">
        <v>5.1250308799999997</v>
      </c>
      <c r="S32" s="46">
        <f t="shared" si="5"/>
        <v>0.62370062370062374</v>
      </c>
      <c r="T32" s="46">
        <f t="shared" si="6"/>
        <v>0.83160083160083165</v>
      </c>
      <c r="U32" s="50">
        <f>IF($I32&lt;$P32,1,0)</f>
        <v>1</v>
      </c>
      <c r="V32" s="50">
        <f>IF($I32=$P32,1,0)</f>
        <v>0</v>
      </c>
      <c r="W32" s="50">
        <f>IF($I32&gt;$P32,1,0)</f>
        <v>0</v>
      </c>
    </row>
    <row r="33" spans="1:23" s="47" customFormat="1" x14ac:dyDescent="0.6">
      <c r="A33" s="41" t="s">
        <v>30</v>
      </c>
      <c r="B33" s="50">
        <v>20</v>
      </c>
      <c r="C33" s="51" t="s">
        <v>970</v>
      </c>
      <c r="D33" s="25" t="s">
        <v>978</v>
      </c>
      <c r="E33" s="25" t="s">
        <v>984</v>
      </c>
      <c r="F33" s="50">
        <v>2</v>
      </c>
      <c r="G33" s="50">
        <f t="shared" si="1"/>
        <v>464</v>
      </c>
      <c r="H33" s="57">
        <v>584</v>
      </c>
      <c r="I33" s="32">
        <v>464</v>
      </c>
      <c r="J33" s="32">
        <v>464</v>
      </c>
      <c r="K33" s="32">
        <v>2.0099999999999998</v>
      </c>
      <c r="L33" s="46">
        <f t="shared" si="2"/>
        <v>25.862068965517242</v>
      </c>
      <c r="M33" s="46">
        <f t="shared" si="3"/>
        <v>0</v>
      </c>
      <c r="N33" s="46">
        <f t="shared" si="4"/>
        <v>0</v>
      </c>
      <c r="O33" s="41" t="s">
        <v>1</v>
      </c>
      <c r="P33" s="50">
        <v>468</v>
      </c>
      <c r="Q33" s="30">
        <v>471.2</v>
      </c>
      <c r="R33" s="33">
        <v>5.0421966600000001</v>
      </c>
      <c r="S33" s="46">
        <f t="shared" si="5"/>
        <v>0.86206896551724133</v>
      </c>
      <c r="T33" s="46">
        <f t="shared" si="6"/>
        <v>1.551724137931032</v>
      </c>
      <c r="U33" s="50">
        <f>IF($I33&lt;$P33,1,0)</f>
        <v>1</v>
      </c>
      <c r="V33" s="50">
        <f>IF($I33=$P33,1,0)</f>
        <v>0</v>
      </c>
      <c r="W33" s="50">
        <f>IF($I33&gt;$P33,1,0)</f>
        <v>0</v>
      </c>
    </row>
    <row r="34" spans="1:23" s="47" customFormat="1" x14ac:dyDescent="0.6">
      <c r="A34" s="41" t="s">
        <v>31</v>
      </c>
      <c r="B34" s="50">
        <v>20</v>
      </c>
      <c r="C34" s="51" t="s">
        <v>970</v>
      </c>
      <c r="D34" s="25" t="s">
        <v>978</v>
      </c>
      <c r="E34" s="25" t="s">
        <v>982</v>
      </c>
      <c r="F34" s="50">
        <v>3</v>
      </c>
      <c r="G34" s="50">
        <f t="shared" si="1"/>
        <v>480</v>
      </c>
      <c r="H34" s="57">
        <v>699</v>
      </c>
      <c r="I34" s="32">
        <v>480</v>
      </c>
      <c r="J34" s="32">
        <v>480</v>
      </c>
      <c r="K34" s="32">
        <v>2.0099999999999998</v>
      </c>
      <c r="L34" s="46">
        <f t="shared" si="2"/>
        <v>45.625</v>
      </c>
      <c r="M34" s="46">
        <f t="shared" si="3"/>
        <v>0</v>
      </c>
      <c r="N34" s="46">
        <f t="shared" si="4"/>
        <v>0</v>
      </c>
      <c r="O34" s="41" t="s">
        <v>1</v>
      </c>
      <c r="P34" s="50">
        <v>483</v>
      </c>
      <c r="Q34" s="30">
        <v>484.6</v>
      </c>
      <c r="R34" s="33">
        <v>5.3764273200000003</v>
      </c>
      <c r="S34" s="46">
        <f t="shared" si="5"/>
        <v>0.625</v>
      </c>
      <c r="T34" s="46">
        <f t="shared" si="6"/>
        <v>0.95833333333333814</v>
      </c>
      <c r="U34" s="50">
        <f>IF($I34&lt;$P34,1,0)</f>
        <v>1</v>
      </c>
      <c r="V34" s="50">
        <f>IF($I34=$P34,1,0)</f>
        <v>0</v>
      </c>
      <c r="W34" s="50">
        <f>IF($I34&gt;$P34,1,0)</f>
        <v>0</v>
      </c>
    </row>
    <row r="35" spans="1:23" s="47" customFormat="1" x14ac:dyDescent="0.6">
      <c r="A35" s="47" t="s">
        <v>32</v>
      </c>
      <c r="B35" s="50">
        <v>20</v>
      </c>
      <c r="C35" s="51" t="s">
        <v>970</v>
      </c>
      <c r="D35" s="25" t="s">
        <v>978</v>
      </c>
      <c r="E35" s="25" t="s">
        <v>982</v>
      </c>
      <c r="F35" s="50">
        <v>4</v>
      </c>
      <c r="G35" s="50">
        <f t="shared" si="1"/>
        <v>490</v>
      </c>
      <c r="H35" s="57">
        <v>618</v>
      </c>
      <c r="I35" s="32">
        <v>490</v>
      </c>
      <c r="J35" s="32">
        <v>490.2</v>
      </c>
      <c r="K35" s="32">
        <v>2.0099999999999998</v>
      </c>
      <c r="L35" s="46">
        <f t="shared" si="2"/>
        <v>26.122448979591837</v>
      </c>
      <c r="M35" s="46">
        <f t="shared" si="3"/>
        <v>0</v>
      </c>
      <c r="N35" s="46">
        <f t="shared" si="4"/>
        <v>4.0816326530609924E-2</v>
      </c>
      <c r="O35" s="47" t="s">
        <v>1</v>
      </c>
      <c r="P35" s="50">
        <v>492</v>
      </c>
      <c r="Q35" s="30">
        <v>494.8</v>
      </c>
      <c r="R35" s="33">
        <v>5.0378946600000001</v>
      </c>
      <c r="S35" s="46">
        <f t="shared" si="5"/>
        <v>0.40816326530612246</v>
      </c>
      <c r="T35" s="46">
        <f t="shared" si="6"/>
        <v>0.9795918367346963</v>
      </c>
      <c r="U35" s="50">
        <f>IF($I35&lt;$P35,1,0)</f>
        <v>1</v>
      </c>
      <c r="V35" s="50">
        <f>IF($I35=$P35,1,0)</f>
        <v>0</v>
      </c>
      <c r="W35" s="50">
        <f>IF($I35&gt;$P35,1,0)</f>
        <v>0</v>
      </c>
    </row>
    <row r="36" spans="1:23" s="47" customFormat="1" x14ac:dyDescent="0.6">
      <c r="A36" s="41" t="s">
        <v>33</v>
      </c>
      <c r="B36" s="50">
        <v>20</v>
      </c>
      <c r="C36" s="51" t="s">
        <v>970</v>
      </c>
      <c r="D36" s="25" t="s">
        <v>978</v>
      </c>
      <c r="E36" s="25" t="s">
        <v>982</v>
      </c>
      <c r="F36" s="50">
        <v>5</v>
      </c>
      <c r="G36" s="50">
        <f t="shared" si="1"/>
        <v>470</v>
      </c>
      <c r="H36" s="57">
        <v>693</v>
      </c>
      <c r="I36" s="32">
        <v>470</v>
      </c>
      <c r="J36" s="32">
        <v>470</v>
      </c>
      <c r="K36" s="32">
        <v>2.0099999999999998</v>
      </c>
      <c r="L36" s="46">
        <f t="shared" si="2"/>
        <v>47.446808510638299</v>
      </c>
      <c r="M36" s="46">
        <f t="shared" si="3"/>
        <v>0</v>
      </c>
      <c r="N36" s="46">
        <f t="shared" si="4"/>
        <v>0</v>
      </c>
      <c r="O36" s="41" t="s">
        <v>1</v>
      </c>
      <c r="P36" s="50">
        <v>471</v>
      </c>
      <c r="Q36" s="30">
        <v>473.2</v>
      </c>
      <c r="R36" s="33">
        <v>5.14739068</v>
      </c>
      <c r="S36" s="46">
        <f t="shared" si="5"/>
        <v>0.21276595744680851</v>
      </c>
      <c r="T36" s="46">
        <f t="shared" si="6"/>
        <v>0.68085106382978478</v>
      </c>
      <c r="U36" s="50">
        <f>IF($I36&lt;$P36,1,0)</f>
        <v>1</v>
      </c>
      <c r="V36" s="50">
        <f>IF($I36=$P36,1,0)</f>
        <v>0</v>
      </c>
      <c r="W36" s="50">
        <f>IF($I36&gt;$P36,1,0)</f>
        <v>0</v>
      </c>
    </row>
    <row r="37" spans="1:23" s="47" customFormat="1" x14ac:dyDescent="0.6">
      <c r="A37" s="47" t="s">
        <v>34</v>
      </c>
      <c r="B37" s="50">
        <v>20</v>
      </c>
      <c r="C37" s="51" t="s">
        <v>970</v>
      </c>
      <c r="D37" s="25" t="s">
        <v>978</v>
      </c>
      <c r="E37" s="25" t="s">
        <v>982</v>
      </c>
      <c r="F37" s="50">
        <v>6</v>
      </c>
      <c r="G37" s="50">
        <f t="shared" si="1"/>
        <v>510</v>
      </c>
      <c r="H37" s="57">
        <v>670</v>
      </c>
      <c r="I37" s="32">
        <v>510</v>
      </c>
      <c r="J37" s="32">
        <v>510</v>
      </c>
      <c r="K37" s="32">
        <v>2.0099999999999998</v>
      </c>
      <c r="L37" s="46">
        <f t="shared" si="2"/>
        <v>31.372549019607842</v>
      </c>
      <c r="M37" s="46">
        <f t="shared" si="3"/>
        <v>0</v>
      </c>
      <c r="N37" s="46">
        <f t="shared" si="4"/>
        <v>0</v>
      </c>
      <c r="O37" s="47" t="s">
        <v>1</v>
      </c>
      <c r="P37" s="50">
        <v>515</v>
      </c>
      <c r="Q37" s="30">
        <v>516.4</v>
      </c>
      <c r="R37" s="33">
        <v>5.1962777000000004</v>
      </c>
      <c r="S37" s="46">
        <f t="shared" si="5"/>
        <v>0.98039215686274506</v>
      </c>
      <c r="T37" s="46">
        <f t="shared" si="6"/>
        <v>1.2549019607843093</v>
      </c>
      <c r="U37" s="50">
        <f>IF($I37&lt;$P37,1,0)</f>
        <v>1</v>
      </c>
      <c r="V37" s="50">
        <f>IF($I37=$P37,1,0)</f>
        <v>0</v>
      </c>
      <c r="W37" s="50">
        <f>IF($I37&gt;$P37,1,0)</f>
        <v>0</v>
      </c>
    </row>
    <row r="38" spans="1:23" s="47" customFormat="1" x14ac:dyDescent="0.6">
      <c r="A38" s="41" t="s">
        <v>35</v>
      </c>
      <c r="B38" s="50">
        <v>20</v>
      </c>
      <c r="C38" s="51" t="s">
        <v>970</v>
      </c>
      <c r="D38" s="25" t="s">
        <v>978</v>
      </c>
      <c r="E38" s="25" t="s">
        <v>982</v>
      </c>
      <c r="F38" s="50">
        <v>7</v>
      </c>
      <c r="G38" s="50">
        <f t="shared" si="1"/>
        <v>491</v>
      </c>
      <c r="H38" s="57">
        <v>587</v>
      </c>
      <c r="I38" s="32">
        <v>491</v>
      </c>
      <c r="J38" s="32">
        <v>491</v>
      </c>
      <c r="K38" s="32">
        <v>2.0099999999999998</v>
      </c>
      <c r="L38" s="46">
        <f t="shared" si="2"/>
        <v>19.551934826883908</v>
      </c>
      <c r="M38" s="46">
        <f t="shared" si="3"/>
        <v>0</v>
      </c>
      <c r="N38" s="46">
        <f t="shared" si="4"/>
        <v>0</v>
      </c>
      <c r="O38" s="41" t="s">
        <v>1</v>
      </c>
      <c r="P38" s="50">
        <v>494</v>
      </c>
      <c r="Q38" s="30">
        <v>496.2</v>
      </c>
      <c r="R38" s="33">
        <v>4.8743965400000002</v>
      </c>
      <c r="S38" s="46">
        <f t="shared" si="5"/>
        <v>0.61099796334012213</v>
      </c>
      <c r="T38" s="46">
        <f t="shared" si="6"/>
        <v>1.0590631364562095</v>
      </c>
      <c r="U38" s="50">
        <f>IF($I38&lt;$P38,1,0)</f>
        <v>1</v>
      </c>
      <c r="V38" s="50">
        <f>IF($I38=$P38,1,0)</f>
        <v>0</v>
      </c>
      <c r="W38" s="50">
        <f>IF($I38&gt;$P38,1,0)</f>
        <v>0</v>
      </c>
    </row>
    <row r="39" spans="1:23" s="47" customFormat="1" x14ac:dyDescent="0.6">
      <c r="A39" s="47" t="s">
        <v>36</v>
      </c>
      <c r="B39" s="50">
        <v>20</v>
      </c>
      <c r="C39" s="51" t="s">
        <v>970</v>
      </c>
      <c r="D39" s="25" t="s">
        <v>978</v>
      </c>
      <c r="E39" s="25" t="s">
        <v>982</v>
      </c>
      <c r="F39" s="50">
        <v>8</v>
      </c>
      <c r="G39" s="50">
        <f t="shared" si="1"/>
        <v>483</v>
      </c>
      <c r="H39" s="57">
        <v>661</v>
      </c>
      <c r="I39" s="32">
        <v>483</v>
      </c>
      <c r="J39" s="32">
        <v>483.2</v>
      </c>
      <c r="K39" s="32">
        <v>2.0099999999999998</v>
      </c>
      <c r="L39" s="46">
        <f t="shared" si="2"/>
        <v>36.853002070393373</v>
      </c>
      <c r="M39" s="46">
        <f t="shared" si="3"/>
        <v>0</v>
      </c>
      <c r="N39" s="46">
        <f t="shared" si="4"/>
        <v>4.1407867494821664E-2</v>
      </c>
      <c r="O39" s="47" t="s">
        <v>1</v>
      </c>
      <c r="P39" s="50">
        <v>488</v>
      </c>
      <c r="Q39" s="30">
        <v>490.4</v>
      </c>
      <c r="R39" s="33">
        <v>5.3753988599999998</v>
      </c>
      <c r="S39" s="46">
        <f t="shared" si="5"/>
        <v>1.0351966873706004</v>
      </c>
      <c r="T39" s="46">
        <f t="shared" si="6"/>
        <v>1.5320910973084838</v>
      </c>
      <c r="U39" s="50">
        <f>IF($I39&lt;$P39,1,0)</f>
        <v>1</v>
      </c>
      <c r="V39" s="50">
        <f>IF($I39=$P39,1,0)</f>
        <v>0</v>
      </c>
      <c r="W39" s="50">
        <f>IF($I39&gt;$P39,1,0)</f>
        <v>0</v>
      </c>
    </row>
    <row r="40" spans="1:23" s="47" customFormat="1" x14ac:dyDescent="0.6">
      <c r="A40" s="41" t="s">
        <v>37</v>
      </c>
      <c r="B40" s="50">
        <v>20</v>
      </c>
      <c r="C40" s="51" t="s">
        <v>970</v>
      </c>
      <c r="D40" s="25" t="s">
        <v>978</v>
      </c>
      <c r="E40" s="25" t="s">
        <v>982</v>
      </c>
      <c r="F40" s="50">
        <v>9</v>
      </c>
      <c r="G40" s="50">
        <f t="shared" si="1"/>
        <v>505</v>
      </c>
      <c r="H40" s="57">
        <v>646</v>
      </c>
      <c r="I40" s="32">
        <v>505</v>
      </c>
      <c r="J40" s="32">
        <v>505</v>
      </c>
      <c r="K40" s="32">
        <v>2.0099999999999998</v>
      </c>
      <c r="L40" s="46">
        <f t="shared" si="2"/>
        <v>27.920792079207924</v>
      </c>
      <c r="M40" s="46">
        <f t="shared" si="3"/>
        <v>0</v>
      </c>
      <c r="N40" s="46">
        <f t="shared" si="4"/>
        <v>0</v>
      </c>
      <c r="O40" s="41" t="s">
        <v>1</v>
      </c>
      <c r="P40" s="50">
        <v>510</v>
      </c>
      <c r="Q40" s="30">
        <v>513.20000000000005</v>
      </c>
      <c r="R40" s="33">
        <v>6.5187530000000002</v>
      </c>
      <c r="S40" s="46">
        <f t="shared" si="5"/>
        <v>0.99009900990099009</v>
      </c>
      <c r="T40" s="46">
        <f t="shared" si="6"/>
        <v>1.6237623762376328</v>
      </c>
      <c r="U40" s="50">
        <f>IF($I40&lt;$P40,1,0)</f>
        <v>1</v>
      </c>
      <c r="V40" s="50">
        <f>IF($I40=$P40,1,0)</f>
        <v>0</v>
      </c>
      <c r="W40" s="50">
        <f>IF($I40&gt;$P40,1,0)</f>
        <v>0</v>
      </c>
    </row>
    <row r="41" spans="1:23" s="47" customFormat="1" x14ac:dyDescent="0.6">
      <c r="A41" s="41" t="s">
        <v>38</v>
      </c>
      <c r="B41" s="50">
        <v>20</v>
      </c>
      <c r="C41" s="51" t="s">
        <v>970</v>
      </c>
      <c r="D41" s="25" t="s">
        <v>978</v>
      </c>
      <c r="E41" s="25" t="s">
        <v>982</v>
      </c>
      <c r="F41" s="50">
        <v>10</v>
      </c>
      <c r="G41" s="50">
        <f t="shared" si="1"/>
        <v>488</v>
      </c>
      <c r="H41" s="57">
        <v>617</v>
      </c>
      <c r="I41" s="32">
        <v>488</v>
      </c>
      <c r="J41" s="32">
        <v>488</v>
      </c>
      <c r="K41" s="32">
        <v>2.0099999999999998</v>
      </c>
      <c r="L41" s="46">
        <f t="shared" si="2"/>
        <v>26.434426229508194</v>
      </c>
      <c r="M41" s="46">
        <f t="shared" si="3"/>
        <v>0</v>
      </c>
      <c r="N41" s="46">
        <f t="shared" si="4"/>
        <v>0</v>
      </c>
      <c r="O41" s="41" t="s">
        <v>1</v>
      </c>
      <c r="P41" s="50">
        <v>491</v>
      </c>
      <c r="Q41" s="30">
        <v>493.2</v>
      </c>
      <c r="R41" s="33">
        <v>5.2651867399999999</v>
      </c>
      <c r="S41" s="46">
        <f t="shared" si="5"/>
        <v>0.61475409836065575</v>
      </c>
      <c r="T41" s="46">
        <f t="shared" si="6"/>
        <v>1.0655737704918009</v>
      </c>
      <c r="U41" s="50">
        <f>IF($I41&lt;$P41,1,0)</f>
        <v>1</v>
      </c>
      <c r="V41" s="50">
        <f>IF($I41=$P41,1,0)</f>
        <v>0</v>
      </c>
      <c r="W41" s="50">
        <f>IF($I41&gt;$P41,1,0)</f>
        <v>0</v>
      </c>
    </row>
    <row r="42" spans="1:23" s="47" customFormat="1" x14ac:dyDescent="0.6">
      <c r="A42" s="41" t="s">
        <v>39</v>
      </c>
      <c r="B42" s="50">
        <v>20</v>
      </c>
      <c r="C42" s="25" t="s">
        <v>974</v>
      </c>
      <c r="D42" s="25" t="s">
        <v>977</v>
      </c>
      <c r="E42" s="25" t="s">
        <v>981</v>
      </c>
      <c r="F42" s="50">
        <v>1</v>
      </c>
      <c r="G42" s="50">
        <f t="shared" si="1"/>
        <v>586</v>
      </c>
      <c r="H42" s="57">
        <v>630</v>
      </c>
      <c r="I42" s="32">
        <v>586</v>
      </c>
      <c r="J42" s="32">
        <v>586</v>
      </c>
      <c r="K42" s="32">
        <v>2.0099999999999998</v>
      </c>
      <c r="L42" s="46">
        <f t="shared" si="2"/>
        <v>7.5085324232081918</v>
      </c>
      <c r="M42" s="46">
        <f t="shared" si="3"/>
        <v>0</v>
      </c>
      <c r="N42" s="46">
        <f t="shared" si="4"/>
        <v>0</v>
      </c>
      <c r="O42" s="41" t="s">
        <v>1</v>
      </c>
      <c r="P42" s="50">
        <v>589</v>
      </c>
      <c r="Q42" s="30">
        <v>591.79999999999995</v>
      </c>
      <c r="R42" s="33">
        <v>5.3034810400000003</v>
      </c>
      <c r="S42" s="46">
        <f t="shared" si="5"/>
        <v>0.51194539249146753</v>
      </c>
      <c r="T42" s="46">
        <f t="shared" si="6"/>
        <v>0.98976109215016295</v>
      </c>
      <c r="U42" s="50">
        <f>IF($I42&lt;$P42,1,0)</f>
        <v>1</v>
      </c>
      <c r="V42" s="50">
        <f>IF($I42=$P42,1,0)</f>
        <v>0</v>
      </c>
      <c r="W42" s="50">
        <f>IF($I42&gt;$P42,1,0)</f>
        <v>0</v>
      </c>
    </row>
    <row r="43" spans="1:23" s="47" customFormat="1" x14ac:dyDescent="0.6">
      <c r="A43" s="47" t="s">
        <v>401</v>
      </c>
      <c r="B43" s="50">
        <v>20</v>
      </c>
      <c r="C43" s="25" t="s">
        <v>974</v>
      </c>
      <c r="D43" s="25" t="s">
        <v>977</v>
      </c>
      <c r="E43" s="25" t="s">
        <v>983</v>
      </c>
      <c r="F43" s="50">
        <v>2</v>
      </c>
      <c r="G43" s="50">
        <f t="shared" si="1"/>
        <v>569</v>
      </c>
      <c r="H43" s="57">
        <v>640</v>
      </c>
      <c r="I43" s="32">
        <v>569</v>
      </c>
      <c r="J43" s="32">
        <v>569</v>
      </c>
      <c r="K43" s="32">
        <v>2.0099999999999998</v>
      </c>
      <c r="L43" s="46">
        <f t="shared" si="2"/>
        <v>12.478031634446397</v>
      </c>
      <c r="M43" s="46">
        <f t="shared" si="3"/>
        <v>0</v>
      </c>
      <c r="N43" s="46">
        <f t="shared" si="4"/>
        <v>0</v>
      </c>
      <c r="O43" s="47" t="s">
        <v>1</v>
      </c>
      <c r="P43" s="50">
        <v>572</v>
      </c>
      <c r="Q43" s="30">
        <v>574.79999999999995</v>
      </c>
      <c r="R43" s="33">
        <v>4.9119549600000001</v>
      </c>
      <c r="S43" s="46">
        <f t="shared" si="5"/>
        <v>0.52724077328646746</v>
      </c>
      <c r="T43" s="46">
        <f t="shared" si="6"/>
        <v>1.0193321616871625</v>
      </c>
      <c r="U43" s="50">
        <f>IF($I43&lt;$P43,1,0)</f>
        <v>1</v>
      </c>
      <c r="V43" s="50">
        <f>IF($I43=$P43,1,0)</f>
        <v>0</v>
      </c>
      <c r="W43" s="50">
        <f>IF($I43&gt;$P43,1,0)</f>
        <v>0</v>
      </c>
    </row>
    <row r="44" spans="1:23" s="47" customFormat="1" x14ac:dyDescent="0.6">
      <c r="A44" s="41" t="s">
        <v>40</v>
      </c>
      <c r="B44" s="50">
        <v>20</v>
      </c>
      <c r="C44" s="25" t="s">
        <v>973</v>
      </c>
      <c r="D44" s="25" t="s">
        <v>976</v>
      </c>
      <c r="E44" s="25" t="s">
        <v>980</v>
      </c>
      <c r="F44" s="50">
        <v>3</v>
      </c>
      <c r="G44" s="50">
        <f t="shared" si="1"/>
        <v>584</v>
      </c>
      <c r="H44" s="57">
        <v>729</v>
      </c>
      <c r="I44" s="32">
        <v>584</v>
      </c>
      <c r="J44" s="32">
        <v>584</v>
      </c>
      <c r="K44" s="32">
        <v>2.0099999999999998</v>
      </c>
      <c r="L44" s="46">
        <f t="shared" si="2"/>
        <v>24.828767123287669</v>
      </c>
      <c r="M44" s="46">
        <f t="shared" si="3"/>
        <v>0</v>
      </c>
      <c r="N44" s="46">
        <f t="shared" si="4"/>
        <v>0</v>
      </c>
      <c r="O44" s="41" t="s">
        <v>1</v>
      </c>
      <c r="P44" s="50">
        <v>589</v>
      </c>
      <c r="Q44" s="30">
        <v>590</v>
      </c>
      <c r="R44" s="33">
        <v>5.23361886</v>
      </c>
      <c r="S44" s="46">
        <f t="shared" si="5"/>
        <v>0.85616438356164382</v>
      </c>
      <c r="T44" s="46">
        <f t="shared" si="6"/>
        <v>1.0273972602739725</v>
      </c>
      <c r="U44" s="50">
        <f>IF($I44&lt;$P44,1,0)</f>
        <v>1</v>
      </c>
      <c r="V44" s="50">
        <f>IF($I44=$P44,1,0)</f>
        <v>0</v>
      </c>
      <c r="W44" s="50">
        <f>IF($I44&gt;$P44,1,0)</f>
        <v>0</v>
      </c>
    </row>
    <row r="45" spans="1:23" s="47" customFormat="1" x14ac:dyDescent="0.6">
      <c r="A45" s="41" t="s">
        <v>41</v>
      </c>
      <c r="B45" s="50">
        <v>20</v>
      </c>
      <c r="C45" s="25" t="s">
        <v>973</v>
      </c>
      <c r="D45" s="25" t="s">
        <v>976</v>
      </c>
      <c r="E45" s="25" t="s">
        <v>980</v>
      </c>
      <c r="F45" s="50">
        <v>4</v>
      </c>
      <c r="G45" s="50">
        <f t="shared" si="1"/>
        <v>595</v>
      </c>
      <c r="H45" s="57">
        <v>667</v>
      </c>
      <c r="I45" s="32">
        <v>595</v>
      </c>
      <c r="J45" s="32">
        <v>595.6</v>
      </c>
      <c r="K45" s="32">
        <v>2.0099999999999998</v>
      </c>
      <c r="L45" s="46">
        <f t="shared" si="2"/>
        <v>12.100840336134453</v>
      </c>
      <c r="M45" s="46">
        <f t="shared" si="3"/>
        <v>0</v>
      </c>
      <c r="N45" s="46">
        <f t="shared" si="4"/>
        <v>0.1008403361344576</v>
      </c>
      <c r="O45" s="41" t="s">
        <v>1</v>
      </c>
      <c r="P45" s="50">
        <v>599</v>
      </c>
      <c r="Q45" s="30">
        <v>600.4</v>
      </c>
      <c r="R45" s="33">
        <v>4.8626313999999997</v>
      </c>
      <c r="S45" s="46">
        <f t="shared" si="5"/>
        <v>0.67226890756302526</v>
      </c>
      <c r="T45" s="46">
        <f t="shared" si="6"/>
        <v>0.90756302521008014</v>
      </c>
      <c r="U45" s="50">
        <f>IF($I45&lt;$P45,1,0)</f>
        <v>1</v>
      </c>
      <c r="V45" s="50">
        <f>IF($I45=$P45,1,0)</f>
        <v>0</v>
      </c>
      <c r="W45" s="50">
        <f>IF($I45&gt;$P45,1,0)</f>
        <v>0</v>
      </c>
    </row>
    <row r="46" spans="1:23" s="47" customFormat="1" x14ac:dyDescent="0.6">
      <c r="A46" s="41" t="s">
        <v>42</v>
      </c>
      <c r="B46" s="50">
        <v>20</v>
      </c>
      <c r="C46" s="25" t="s">
        <v>973</v>
      </c>
      <c r="D46" s="25" t="s">
        <v>976</v>
      </c>
      <c r="E46" s="25" t="s">
        <v>980</v>
      </c>
      <c r="F46" s="50">
        <v>5</v>
      </c>
      <c r="G46" s="50">
        <f t="shared" si="1"/>
        <v>574</v>
      </c>
      <c r="H46" s="57">
        <v>723</v>
      </c>
      <c r="I46" s="32">
        <v>574</v>
      </c>
      <c r="J46" s="32">
        <v>574</v>
      </c>
      <c r="K46" s="32">
        <v>2.0099999999999998</v>
      </c>
      <c r="L46" s="46">
        <f t="shared" si="2"/>
        <v>25.958188153310104</v>
      </c>
      <c r="M46" s="46">
        <f t="shared" si="3"/>
        <v>0</v>
      </c>
      <c r="N46" s="46">
        <f t="shared" si="4"/>
        <v>0</v>
      </c>
      <c r="O46" s="41" t="s">
        <v>1</v>
      </c>
      <c r="P46" s="50">
        <v>576</v>
      </c>
      <c r="Q46" s="30">
        <v>578</v>
      </c>
      <c r="R46" s="33">
        <v>5.0251406200000002</v>
      </c>
      <c r="S46" s="46">
        <f t="shared" si="5"/>
        <v>0.34843205574912894</v>
      </c>
      <c r="T46" s="46">
        <f t="shared" si="6"/>
        <v>0.69686411149825789</v>
      </c>
      <c r="U46" s="50">
        <f>IF($I46&lt;$P46,1,0)</f>
        <v>1</v>
      </c>
      <c r="V46" s="50">
        <f>IF($I46=$P46,1,0)</f>
        <v>0</v>
      </c>
      <c r="W46" s="50">
        <f>IF($I46&gt;$P46,1,0)</f>
        <v>0</v>
      </c>
    </row>
    <row r="47" spans="1:23" s="47" customFormat="1" x14ac:dyDescent="0.6">
      <c r="A47" s="41" t="s">
        <v>43</v>
      </c>
      <c r="B47" s="50">
        <v>20</v>
      </c>
      <c r="C47" s="25" t="s">
        <v>973</v>
      </c>
      <c r="D47" s="25" t="s">
        <v>976</v>
      </c>
      <c r="E47" s="25" t="s">
        <v>980</v>
      </c>
      <c r="F47" s="50">
        <v>6</v>
      </c>
      <c r="G47" s="50">
        <f t="shared" si="1"/>
        <v>615</v>
      </c>
      <c r="H47" s="57">
        <v>710</v>
      </c>
      <c r="I47" s="32">
        <v>615</v>
      </c>
      <c r="J47" s="32">
        <v>615</v>
      </c>
      <c r="K47" s="32">
        <v>2.0099999999999998</v>
      </c>
      <c r="L47" s="46">
        <f t="shared" si="2"/>
        <v>15.447154471544716</v>
      </c>
      <c r="M47" s="46">
        <f t="shared" si="3"/>
        <v>0</v>
      </c>
      <c r="N47" s="46">
        <f t="shared" si="4"/>
        <v>0</v>
      </c>
      <c r="O47" s="41" t="s">
        <v>1</v>
      </c>
      <c r="P47" s="50">
        <v>616</v>
      </c>
      <c r="Q47" s="30">
        <v>619.4</v>
      </c>
      <c r="R47" s="33">
        <v>5.1480893200000004</v>
      </c>
      <c r="S47" s="46">
        <f t="shared" si="5"/>
        <v>0.16260162601626016</v>
      </c>
      <c r="T47" s="46">
        <f t="shared" si="6"/>
        <v>0.71544715447154095</v>
      </c>
      <c r="U47" s="50">
        <f>IF($I47&lt;$P47,1,0)</f>
        <v>1</v>
      </c>
      <c r="V47" s="50">
        <f>IF($I47=$P47,1,0)</f>
        <v>0</v>
      </c>
      <c r="W47" s="50">
        <f>IF($I47&gt;$P47,1,0)</f>
        <v>0</v>
      </c>
    </row>
    <row r="48" spans="1:23" s="47" customFormat="1" x14ac:dyDescent="0.6">
      <c r="A48" s="41" t="s">
        <v>44</v>
      </c>
      <c r="B48" s="50">
        <v>20</v>
      </c>
      <c r="C48" s="25" t="s">
        <v>973</v>
      </c>
      <c r="D48" s="25" t="s">
        <v>976</v>
      </c>
      <c r="E48" s="25" t="s">
        <v>980</v>
      </c>
      <c r="F48" s="50">
        <v>7</v>
      </c>
      <c r="G48" s="50">
        <f t="shared" si="1"/>
        <v>596</v>
      </c>
      <c r="H48" s="57">
        <v>639</v>
      </c>
      <c r="I48" s="32">
        <v>596</v>
      </c>
      <c r="J48" s="32">
        <v>596</v>
      </c>
      <c r="K48" s="32">
        <v>2.0099999999999998</v>
      </c>
      <c r="L48" s="46">
        <f t="shared" si="2"/>
        <v>7.2147651006711415</v>
      </c>
      <c r="M48" s="46">
        <f t="shared" si="3"/>
        <v>0</v>
      </c>
      <c r="N48" s="46">
        <f t="shared" si="4"/>
        <v>0</v>
      </c>
      <c r="O48" s="41" t="s">
        <v>1</v>
      </c>
      <c r="P48" s="50">
        <v>598</v>
      </c>
      <c r="Q48" s="30">
        <v>599.79999999999995</v>
      </c>
      <c r="R48" s="33">
        <v>5.0342181200000002</v>
      </c>
      <c r="S48" s="46">
        <f t="shared" si="5"/>
        <v>0.33557046979865773</v>
      </c>
      <c r="T48" s="46">
        <f t="shared" si="6"/>
        <v>0.63758389261744197</v>
      </c>
      <c r="U48" s="50">
        <f>IF($I48&lt;$P48,1,0)</f>
        <v>1</v>
      </c>
      <c r="V48" s="50">
        <f>IF($I48=$P48,1,0)</f>
        <v>0</v>
      </c>
      <c r="W48" s="50">
        <f>IF($I48&gt;$P48,1,0)</f>
        <v>0</v>
      </c>
    </row>
    <row r="49" spans="1:23" s="47" customFormat="1" x14ac:dyDescent="0.6">
      <c r="A49" s="41" t="s">
        <v>45</v>
      </c>
      <c r="B49" s="50">
        <v>20</v>
      </c>
      <c r="C49" s="25" t="s">
        <v>973</v>
      </c>
      <c r="D49" s="25" t="s">
        <v>976</v>
      </c>
      <c r="E49" s="25" t="s">
        <v>980</v>
      </c>
      <c r="F49" s="50">
        <v>8</v>
      </c>
      <c r="G49" s="50">
        <f t="shared" si="1"/>
        <v>588</v>
      </c>
      <c r="H49" s="57">
        <v>694</v>
      </c>
      <c r="I49" s="32">
        <v>588</v>
      </c>
      <c r="J49" s="32">
        <v>588.20000000000005</v>
      </c>
      <c r="K49" s="32">
        <v>2.0099999999999998</v>
      </c>
      <c r="L49" s="46">
        <f t="shared" si="2"/>
        <v>18.027210884353742</v>
      </c>
      <c r="M49" s="46">
        <f t="shared" si="3"/>
        <v>0</v>
      </c>
      <c r="N49" s="46">
        <f t="shared" si="4"/>
        <v>3.4013605442184604E-2</v>
      </c>
      <c r="O49" s="41" t="s">
        <v>1</v>
      </c>
      <c r="P49" s="50">
        <v>593</v>
      </c>
      <c r="Q49" s="30">
        <v>594.6</v>
      </c>
      <c r="R49" s="33">
        <v>5.3205210799999998</v>
      </c>
      <c r="S49" s="46">
        <f t="shared" si="5"/>
        <v>0.85034013605442182</v>
      </c>
      <c r="T49" s="46">
        <f t="shared" si="6"/>
        <v>1.1224489795918406</v>
      </c>
      <c r="U49" s="50">
        <f>IF($I49&lt;$P49,1,0)</f>
        <v>1</v>
      </c>
      <c r="V49" s="50">
        <f>IF($I49=$P49,1,0)</f>
        <v>0</v>
      </c>
      <c r="W49" s="50">
        <f>IF($I49&gt;$P49,1,0)</f>
        <v>0</v>
      </c>
    </row>
    <row r="50" spans="1:23" s="47" customFormat="1" x14ac:dyDescent="0.6">
      <c r="A50" s="41" t="s">
        <v>46</v>
      </c>
      <c r="B50" s="50">
        <v>20</v>
      </c>
      <c r="C50" s="25" t="s">
        <v>973</v>
      </c>
      <c r="D50" s="25" t="s">
        <v>976</v>
      </c>
      <c r="E50" s="25" t="s">
        <v>980</v>
      </c>
      <c r="F50" s="50">
        <v>9</v>
      </c>
      <c r="G50" s="50">
        <f t="shared" si="1"/>
        <v>606</v>
      </c>
      <c r="H50" s="57">
        <v>698</v>
      </c>
      <c r="I50" s="32">
        <v>606</v>
      </c>
      <c r="J50" s="32">
        <v>606</v>
      </c>
      <c r="K50" s="32">
        <v>2.0099999999999998</v>
      </c>
      <c r="L50" s="46">
        <f t="shared" si="2"/>
        <v>15.181518151815181</v>
      </c>
      <c r="M50" s="46">
        <f t="shared" si="3"/>
        <v>0</v>
      </c>
      <c r="N50" s="46">
        <f t="shared" si="4"/>
        <v>0</v>
      </c>
      <c r="O50" s="41" t="s">
        <v>1</v>
      </c>
      <c r="P50" s="50">
        <v>607</v>
      </c>
      <c r="Q50" s="30">
        <v>610.6</v>
      </c>
      <c r="R50" s="33">
        <v>6.3610048800000003</v>
      </c>
      <c r="S50" s="46">
        <f t="shared" si="5"/>
        <v>0.16501650165016502</v>
      </c>
      <c r="T50" s="46">
        <f t="shared" si="6"/>
        <v>0.75907590759076282</v>
      </c>
      <c r="U50" s="50">
        <f>IF($I50&lt;$P50,1,0)</f>
        <v>1</v>
      </c>
      <c r="V50" s="50">
        <f>IF($I50=$P50,1,0)</f>
        <v>0</v>
      </c>
      <c r="W50" s="50">
        <f>IF($I50&gt;$P50,1,0)</f>
        <v>0</v>
      </c>
    </row>
    <row r="51" spans="1:23" s="47" customFormat="1" x14ac:dyDescent="0.6">
      <c r="A51" s="47" t="s">
        <v>47</v>
      </c>
      <c r="B51" s="50">
        <v>20</v>
      </c>
      <c r="C51" s="25" t="s">
        <v>973</v>
      </c>
      <c r="D51" s="25" t="s">
        <v>976</v>
      </c>
      <c r="E51" s="25" t="s">
        <v>980</v>
      </c>
      <c r="F51" s="50">
        <v>10</v>
      </c>
      <c r="G51" s="50">
        <f t="shared" si="1"/>
        <v>593</v>
      </c>
      <c r="H51" s="57">
        <v>662</v>
      </c>
      <c r="I51" s="32">
        <v>593</v>
      </c>
      <c r="J51" s="32">
        <v>593</v>
      </c>
      <c r="K51" s="32">
        <v>2.0099999999999998</v>
      </c>
      <c r="L51" s="46">
        <f t="shared" si="2"/>
        <v>11.635750421585159</v>
      </c>
      <c r="M51" s="46">
        <f t="shared" si="3"/>
        <v>0</v>
      </c>
      <c r="N51" s="46">
        <f t="shared" si="4"/>
        <v>0</v>
      </c>
      <c r="O51" s="47" t="s">
        <v>1</v>
      </c>
      <c r="P51" s="50">
        <v>596</v>
      </c>
      <c r="Q51" s="30">
        <v>598.4</v>
      </c>
      <c r="R51" s="33">
        <v>5.4646707399999999</v>
      </c>
      <c r="S51" s="46">
        <f t="shared" si="5"/>
        <v>0.50590219224283306</v>
      </c>
      <c r="T51" s="46">
        <f t="shared" si="6"/>
        <v>0.91062394603709573</v>
      </c>
      <c r="U51" s="50">
        <f>IF($I51&lt;$P51,1,0)</f>
        <v>1</v>
      </c>
      <c r="V51" s="50">
        <f>IF($I51=$P51,1,0)</f>
        <v>0</v>
      </c>
      <c r="W51" s="50">
        <f>IF($I51&gt;$P51,1,0)</f>
        <v>0</v>
      </c>
    </row>
    <row r="52" spans="1:23" s="47" customFormat="1" x14ac:dyDescent="0.6">
      <c r="A52" s="41" t="s">
        <v>48</v>
      </c>
      <c r="B52" s="50">
        <v>20</v>
      </c>
      <c r="C52" s="25" t="s">
        <v>973</v>
      </c>
      <c r="D52" s="25" t="s">
        <v>976</v>
      </c>
      <c r="E52" s="25" t="s">
        <v>984</v>
      </c>
      <c r="F52" s="50">
        <v>1</v>
      </c>
      <c r="G52" s="50">
        <f t="shared" si="1"/>
        <v>586</v>
      </c>
      <c r="H52" s="57">
        <v>653</v>
      </c>
      <c r="I52" s="32">
        <v>586</v>
      </c>
      <c r="J52" s="32">
        <v>586</v>
      </c>
      <c r="K52" s="32">
        <v>2.0099999999999998</v>
      </c>
      <c r="L52" s="46">
        <f t="shared" si="2"/>
        <v>11.433447098976108</v>
      </c>
      <c r="M52" s="46">
        <f t="shared" si="3"/>
        <v>0</v>
      </c>
      <c r="N52" s="46">
        <f t="shared" si="4"/>
        <v>0</v>
      </c>
      <c r="O52" s="41" t="s">
        <v>1</v>
      </c>
      <c r="P52" s="50">
        <v>591</v>
      </c>
      <c r="Q52" s="30">
        <v>592.6</v>
      </c>
      <c r="R52" s="33">
        <v>5.1435943799999997</v>
      </c>
      <c r="S52" s="46">
        <f t="shared" si="5"/>
        <v>0.85324232081911267</v>
      </c>
      <c r="T52" s="46">
        <f t="shared" si="6"/>
        <v>1.1262798634812325</v>
      </c>
      <c r="U52" s="50">
        <f>IF($I52&lt;$P52,1,0)</f>
        <v>1</v>
      </c>
      <c r="V52" s="50">
        <f>IF($I52=$P52,1,0)</f>
        <v>0</v>
      </c>
      <c r="W52" s="50">
        <f>IF($I52&gt;$P52,1,0)</f>
        <v>0</v>
      </c>
    </row>
    <row r="53" spans="1:23" s="47" customFormat="1" x14ac:dyDescent="0.6">
      <c r="A53" s="41" t="s">
        <v>49</v>
      </c>
      <c r="B53" s="50">
        <v>20</v>
      </c>
      <c r="C53" s="25" t="s">
        <v>973</v>
      </c>
      <c r="D53" s="25" t="s">
        <v>976</v>
      </c>
      <c r="E53" s="25" t="s">
        <v>984</v>
      </c>
      <c r="F53" s="50">
        <v>2</v>
      </c>
      <c r="G53" s="50">
        <f t="shared" si="1"/>
        <v>569</v>
      </c>
      <c r="H53" s="57">
        <v>699</v>
      </c>
      <c r="I53" s="32">
        <v>569</v>
      </c>
      <c r="J53" s="32">
        <v>569</v>
      </c>
      <c r="K53" s="32">
        <v>2.0099999999999998</v>
      </c>
      <c r="L53" s="46">
        <f t="shared" si="2"/>
        <v>22.847100175746924</v>
      </c>
      <c r="M53" s="46">
        <f t="shared" si="3"/>
        <v>0</v>
      </c>
      <c r="N53" s="46">
        <f t="shared" si="4"/>
        <v>0</v>
      </c>
      <c r="O53" s="41" t="s">
        <v>1</v>
      </c>
      <c r="P53" s="50">
        <v>571</v>
      </c>
      <c r="Q53" s="30">
        <v>573.20000000000005</v>
      </c>
      <c r="R53" s="33">
        <v>5.0688910399999996</v>
      </c>
      <c r="S53" s="46">
        <f t="shared" si="5"/>
        <v>0.35149384885764495</v>
      </c>
      <c r="T53" s="46">
        <f t="shared" si="6"/>
        <v>0.73813708260106248</v>
      </c>
      <c r="U53" s="50">
        <f>IF($I53&lt;$P53,1,0)</f>
        <v>1</v>
      </c>
      <c r="V53" s="50">
        <f>IF($I53=$P53,1,0)</f>
        <v>0</v>
      </c>
      <c r="W53" s="50">
        <f>IF($I53&gt;$P53,1,0)</f>
        <v>0</v>
      </c>
    </row>
    <row r="54" spans="1:23" s="47" customFormat="1" x14ac:dyDescent="0.6">
      <c r="A54" s="41" t="s">
        <v>50</v>
      </c>
      <c r="B54" s="50">
        <v>20</v>
      </c>
      <c r="C54" s="25" t="s">
        <v>973</v>
      </c>
      <c r="D54" s="25" t="s">
        <v>976</v>
      </c>
      <c r="E54" s="25" t="s">
        <v>982</v>
      </c>
      <c r="F54" s="50">
        <v>3</v>
      </c>
      <c r="G54" s="50">
        <f t="shared" si="1"/>
        <v>585</v>
      </c>
      <c r="H54" s="57">
        <v>829</v>
      </c>
      <c r="I54" s="32">
        <v>585</v>
      </c>
      <c r="J54" s="32">
        <v>585</v>
      </c>
      <c r="K54" s="32">
        <v>2.0099999999999998</v>
      </c>
      <c r="L54" s="46">
        <f t="shared" si="2"/>
        <v>41.70940170940171</v>
      </c>
      <c r="M54" s="46">
        <f t="shared" si="3"/>
        <v>0</v>
      </c>
      <c r="N54" s="46">
        <f t="shared" si="4"/>
        <v>0</v>
      </c>
      <c r="O54" s="41" t="s">
        <v>1</v>
      </c>
      <c r="P54" s="50">
        <v>589</v>
      </c>
      <c r="Q54" s="30">
        <v>589.20000000000005</v>
      </c>
      <c r="R54" s="33">
        <v>5.1731811199999997</v>
      </c>
      <c r="S54" s="46">
        <f t="shared" si="5"/>
        <v>0.68376068376068377</v>
      </c>
      <c r="T54" s="46">
        <f t="shared" si="6"/>
        <v>0.71794871794872572</v>
      </c>
      <c r="U54" s="50">
        <f>IF($I54&lt;$P54,1,0)</f>
        <v>1</v>
      </c>
      <c r="V54" s="50">
        <f>IF($I54=$P54,1,0)</f>
        <v>0</v>
      </c>
      <c r="W54" s="50">
        <f>IF($I54&gt;$P54,1,0)</f>
        <v>0</v>
      </c>
    </row>
    <row r="55" spans="1:23" s="47" customFormat="1" x14ac:dyDescent="0.6">
      <c r="A55" s="41" t="s">
        <v>51</v>
      </c>
      <c r="B55" s="50">
        <v>20</v>
      </c>
      <c r="C55" s="25" t="s">
        <v>973</v>
      </c>
      <c r="D55" s="25" t="s">
        <v>976</v>
      </c>
      <c r="E55" s="25" t="s">
        <v>982</v>
      </c>
      <c r="F55" s="50">
        <v>4</v>
      </c>
      <c r="G55" s="50">
        <f t="shared" si="1"/>
        <v>595</v>
      </c>
      <c r="H55" s="57">
        <v>738</v>
      </c>
      <c r="I55" s="32">
        <v>595</v>
      </c>
      <c r="J55" s="32">
        <v>595.20000000000005</v>
      </c>
      <c r="K55" s="32">
        <v>2.0099999999999998</v>
      </c>
      <c r="L55" s="46">
        <f t="shared" si="2"/>
        <v>24.033613445378151</v>
      </c>
      <c r="M55" s="46">
        <f t="shared" si="3"/>
        <v>0</v>
      </c>
      <c r="N55" s="46">
        <f t="shared" si="4"/>
        <v>3.3613445378158906E-2</v>
      </c>
      <c r="O55" s="41" t="s">
        <v>1</v>
      </c>
      <c r="P55" s="50">
        <v>599</v>
      </c>
      <c r="Q55" s="30">
        <v>600.79999999999995</v>
      </c>
      <c r="R55" s="33">
        <v>4.95990004</v>
      </c>
      <c r="S55" s="46">
        <f t="shared" si="5"/>
        <v>0.67226890756302526</v>
      </c>
      <c r="T55" s="46">
        <f t="shared" si="6"/>
        <v>0.97478991596637898</v>
      </c>
      <c r="U55" s="50">
        <f>IF($I55&lt;$P55,1,0)</f>
        <v>1</v>
      </c>
      <c r="V55" s="50">
        <f>IF($I55=$P55,1,0)</f>
        <v>0</v>
      </c>
      <c r="W55" s="50">
        <f>IF($I55&gt;$P55,1,0)</f>
        <v>0</v>
      </c>
    </row>
    <row r="56" spans="1:23" s="47" customFormat="1" x14ac:dyDescent="0.6">
      <c r="A56" s="41" t="s">
        <v>52</v>
      </c>
      <c r="B56" s="50">
        <v>20</v>
      </c>
      <c r="C56" s="25" t="s">
        <v>973</v>
      </c>
      <c r="D56" s="25" t="s">
        <v>976</v>
      </c>
      <c r="E56" s="25" t="s">
        <v>982</v>
      </c>
      <c r="F56" s="50">
        <v>5</v>
      </c>
      <c r="G56" s="50">
        <f t="shared" si="1"/>
        <v>575</v>
      </c>
      <c r="H56" s="57">
        <v>823</v>
      </c>
      <c r="I56" s="32">
        <v>575</v>
      </c>
      <c r="J56" s="32">
        <v>575</v>
      </c>
      <c r="K56" s="32">
        <v>2</v>
      </c>
      <c r="L56" s="46">
        <f t="shared" si="2"/>
        <v>43.130434782608695</v>
      </c>
      <c r="M56" s="46">
        <f t="shared" si="3"/>
        <v>0</v>
      </c>
      <c r="N56" s="46">
        <f t="shared" si="4"/>
        <v>0</v>
      </c>
      <c r="O56" s="41" t="s">
        <v>1</v>
      </c>
      <c r="P56" s="50">
        <v>578</v>
      </c>
      <c r="Q56" s="30">
        <v>578.79999999999995</v>
      </c>
      <c r="R56" s="33">
        <v>5.1394773000000002</v>
      </c>
      <c r="S56" s="46">
        <f t="shared" si="5"/>
        <v>0.52173913043478271</v>
      </c>
      <c r="T56" s="46">
        <f t="shared" si="6"/>
        <v>0.66086956521738338</v>
      </c>
      <c r="U56" s="50">
        <f>IF($I56&lt;$P56,1,0)</f>
        <v>1</v>
      </c>
      <c r="V56" s="50">
        <f>IF($I56=$P56,1,0)</f>
        <v>0</v>
      </c>
      <c r="W56" s="50">
        <f>IF($I56&gt;$P56,1,0)</f>
        <v>0</v>
      </c>
    </row>
    <row r="57" spans="1:23" s="47" customFormat="1" x14ac:dyDescent="0.6">
      <c r="A57" s="41" t="s">
        <v>53</v>
      </c>
      <c r="B57" s="50">
        <v>20</v>
      </c>
      <c r="C57" s="25" t="s">
        <v>973</v>
      </c>
      <c r="D57" s="25" t="s">
        <v>976</v>
      </c>
      <c r="E57" s="25" t="s">
        <v>982</v>
      </c>
      <c r="F57" s="50">
        <v>6</v>
      </c>
      <c r="G57" s="50">
        <f t="shared" si="1"/>
        <v>615</v>
      </c>
      <c r="H57" s="57">
        <v>790</v>
      </c>
      <c r="I57" s="32">
        <v>615</v>
      </c>
      <c r="J57" s="32">
        <v>615</v>
      </c>
      <c r="K57" s="32">
        <v>2.0099999999999998</v>
      </c>
      <c r="L57" s="46">
        <f t="shared" si="2"/>
        <v>28.455284552845526</v>
      </c>
      <c r="M57" s="46">
        <f t="shared" si="3"/>
        <v>0</v>
      </c>
      <c r="N57" s="46">
        <f t="shared" si="4"/>
        <v>0</v>
      </c>
      <c r="O57" s="41" t="s">
        <v>1</v>
      </c>
      <c r="P57" s="50">
        <v>618</v>
      </c>
      <c r="Q57" s="30">
        <v>621</v>
      </c>
      <c r="R57" s="33">
        <v>5.1565459799999998</v>
      </c>
      <c r="S57" s="46">
        <f t="shared" si="5"/>
        <v>0.48780487804878048</v>
      </c>
      <c r="T57" s="46">
        <f t="shared" si="6"/>
        <v>0.97560975609756095</v>
      </c>
      <c r="U57" s="50">
        <f>IF($I57&lt;$P57,1,0)</f>
        <v>1</v>
      </c>
      <c r="V57" s="50">
        <f>IF($I57=$P57,1,0)</f>
        <v>0</v>
      </c>
      <c r="W57" s="50">
        <f>IF($I57&gt;$P57,1,0)</f>
        <v>0</v>
      </c>
    </row>
    <row r="58" spans="1:23" s="47" customFormat="1" x14ac:dyDescent="0.6">
      <c r="A58" s="41" t="s">
        <v>54</v>
      </c>
      <c r="B58" s="50">
        <v>20</v>
      </c>
      <c r="C58" s="25" t="s">
        <v>973</v>
      </c>
      <c r="D58" s="25" t="s">
        <v>976</v>
      </c>
      <c r="E58" s="25" t="s">
        <v>982</v>
      </c>
      <c r="F58" s="50">
        <v>7</v>
      </c>
      <c r="G58" s="50">
        <f t="shared" si="1"/>
        <v>596</v>
      </c>
      <c r="H58" s="57">
        <v>697</v>
      </c>
      <c r="I58" s="32">
        <v>596</v>
      </c>
      <c r="J58" s="32">
        <v>596</v>
      </c>
      <c r="K58" s="32">
        <v>2.0099999999999998</v>
      </c>
      <c r="L58" s="46">
        <f t="shared" si="2"/>
        <v>16.946308724832214</v>
      </c>
      <c r="M58" s="46">
        <f t="shared" si="3"/>
        <v>0</v>
      </c>
      <c r="N58" s="46">
        <f t="shared" si="4"/>
        <v>0</v>
      </c>
      <c r="O58" s="41" t="s">
        <v>1</v>
      </c>
      <c r="P58" s="50">
        <v>600</v>
      </c>
      <c r="Q58" s="30">
        <v>601.20000000000005</v>
      </c>
      <c r="R58" s="33">
        <v>4.9773216400000004</v>
      </c>
      <c r="S58" s="46">
        <f t="shared" si="5"/>
        <v>0.67114093959731547</v>
      </c>
      <c r="T58" s="46">
        <f t="shared" si="6"/>
        <v>0.87248322147651758</v>
      </c>
      <c r="U58" s="50">
        <f>IF($I58&lt;$P58,1,0)</f>
        <v>1</v>
      </c>
      <c r="V58" s="50">
        <f>IF($I58=$P58,1,0)</f>
        <v>0</v>
      </c>
      <c r="W58" s="50">
        <f>IF($I58&gt;$P58,1,0)</f>
        <v>0</v>
      </c>
    </row>
    <row r="59" spans="1:23" s="47" customFormat="1" x14ac:dyDescent="0.6">
      <c r="A59" s="47" t="s">
        <v>55</v>
      </c>
      <c r="B59" s="50">
        <v>20</v>
      </c>
      <c r="C59" s="25" t="s">
        <v>973</v>
      </c>
      <c r="D59" s="25" t="s">
        <v>976</v>
      </c>
      <c r="E59" s="25" t="s">
        <v>982</v>
      </c>
      <c r="F59" s="50">
        <v>8</v>
      </c>
      <c r="G59" s="50">
        <f t="shared" si="1"/>
        <v>588</v>
      </c>
      <c r="H59" s="57">
        <v>786</v>
      </c>
      <c r="I59" s="32">
        <v>588</v>
      </c>
      <c r="J59" s="32">
        <v>588.6</v>
      </c>
      <c r="K59" s="32">
        <v>2</v>
      </c>
      <c r="L59" s="46">
        <f t="shared" si="2"/>
        <v>33.673469387755098</v>
      </c>
      <c r="M59" s="46">
        <f t="shared" si="3"/>
        <v>0</v>
      </c>
      <c r="N59" s="46">
        <f t="shared" si="4"/>
        <v>0.10204081632653449</v>
      </c>
      <c r="O59" s="47" t="s">
        <v>1</v>
      </c>
      <c r="P59" s="50">
        <v>593</v>
      </c>
      <c r="Q59" s="30">
        <v>595.4</v>
      </c>
      <c r="R59" s="33">
        <v>5.3378752199999999</v>
      </c>
      <c r="S59" s="46">
        <f t="shared" si="5"/>
        <v>0.85034013605442182</v>
      </c>
      <c r="T59" s="46">
        <f t="shared" si="6"/>
        <v>1.2585034013605403</v>
      </c>
      <c r="U59" s="50">
        <f>IF($I59&lt;$P59,1,0)</f>
        <v>1</v>
      </c>
      <c r="V59" s="50">
        <f>IF($I59=$P59,1,0)</f>
        <v>0</v>
      </c>
      <c r="W59" s="50">
        <f>IF($I59&gt;$P59,1,0)</f>
        <v>0</v>
      </c>
    </row>
    <row r="60" spans="1:23" s="47" customFormat="1" x14ac:dyDescent="0.6">
      <c r="A60" s="47" t="s">
        <v>56</v>
      </c>
      <c r="B60" s="50">
        <v>20</v>
      </c>
      <c r="C60" s="25" t="s">
        <v>973</v>
      </c>
      <c r="D60" s="25" t="s">
        <v>976</v>
      </c>
      <c r="E60" s="25" t="s">
        <v>982</v>
      </c>
      <c r="F60" s="50">
        <v>9</v>
      </c>
      <c r="G60" s="50">
        <f t="shared" si="1"/>
        <v>610</v>
      </c>
      <c r="H60" s="57">
        <v>766</v>
      </c>
      <c r="I60" s="32">
        <v>610</v>
      </c>
      <c r="J60" s="32">
        <v>610</v>
      </c>
      <c r="K60" s="32">
        <v>2.0099999999999998</v>
      </c>
      <c r="L60" s="46">
        <f t="shared" si="2"/>
        <v>25.573770491803277</v>
      </c>
      <c r="M60" s="46">
        <f t="shared" si="3"/>
        <v>0</v>
      </c>
      <c r="N60" s="46">
        <f t="shared" si="4"/>
        <v>0</v>
      </c>
      <c r="O60" s="47" t="s">
        <v>1</v>
      </c>
      <c r="P60" s="50">
        <v>611</v>
      </c>
      <c r="Q60" s="30">
        <v>615</v>
      </c>
      <c r="R60" s="33">
        <v>6.4385448800000002</v>
      </c>
      <c r="S60" s="46">
        <f t="shared" si="5"/>
        <v>0.16393442622950818</v>
      </c>
      <c r="T60" s="46">
        <f t="shared" si="6"/>
        <v>0.81967213114754101</v>
      </c>
      <c r="U60" s="50">
        <f>IF($I60&lt;$P60,1,0)</f>
        <v>1</v>
      </c>
      <c r="V60" s="50">
        <f>IF($I60=$P60,1,0)</f>
        <v>0</v>
      </c>
      <c r="W60" s="50">
        <f>IF($I60&gt;$P60,1,0)</f>
        <v>0</v>
      </c>
    </row>
    <row r="61" spans="1:23" s="47" customFormat="1" x14ac:dyDescent="0.6">
      <c r="A61" s="41" t="s">
        <v>57</v>
      </c>
      <c r="B61" s="50">
        <v>20</v>
      </c>
      <c r="C61" s="25" t="s">
        <v>973</v>
      </c>
      <c r="D61" s="25" t="s">
        <v>976</v>
      </c>
      <c r="E61" s="25" t="s">
        <v>982</v>
      </c>
      <c r="F61" s="50">
        <v>10</v>
      </c>
      <c r="G61" s="50">
        <f t="shared" si="1"/>
        <v>593</v>
      </c>
      <c r="H61" s="57">
        <v>737</v>
      </c>
      <c r="I61" s="32">
        <v>593</v>
      </c>
      <c r="J61" s="32">
        <v>593</v>
      </c>
      <c r="K61" s="32">
        <v>2.0099999999999998</v>
      </c>
      <c r="L61" s="46">
        <f t="shared" si="2"/>
        <v>24.283305227655987</v>
      </c>
      <c r="M61" s="46">
        <f t="shared" si="3"/>
        <v>0</v>
      </c>
      <c r="N61" s="46">
        <f t="shared" si="4"/>
        <v>0</v>
      </c>
      <c r="O61" s="41" t="s">
        <v>1</v>
      </c>
      <c r="P61" s="50">
        <v>596</v>
      </c>
      <c r="Q61" s="30">
        <v>599.20000000000005</v>
      </c>
      <c r="R61" s="33">
        <v>5.2558211400000001</v>
      </c>
      <c r="S61" s="46">
        <f t="shared" si="5"/>
        <v>0.50590219224283306</v>
      </c>
      <c r="T61" s="46">
        <f t="shared" si="6"/>
        <v>1.0455311973018626</v>
      </c>
      <c r="U61" s="50">
        <f>IF($I61&lt;$P61,1,0)</f>
        <v>1</v>
      </c>
      <c r="V61" s="50">
        <f>IF($I61=$P61,1,0)</f>
        <v>0</v>
      </c>
      <c r="W61" s="50">
        <f>IF($I61&gt;$P61,1,0)</f>
        <v>0</v>
      </c>
    </row>
    <row r="62" spans="1:23" s="47" customFormat="1" x14ac:dyDescent="0.6">
      <c r="A62" s="41" t="s">
        <v>58</v>
      </c>
      <c r="B62" s="50">
        <v>20</v>
      </c>
      <c r="C62" s="25" t="s">
        <v>973</v>
      </c>
      <c r="D62" s="25" t="s">
        <v>979</v>
      </c>
      <c r="E62" s="25" t="s">
        <v>981</v>
      </c>
      <c r="F62" s="50">
        <v>1</v>
      </c>
      <c r="G62" s="50">
        <f t="shared" si="1"/>
        <v>681</v>
      </c>
      <c r="H62" s="57">
        <v>720</v>
      </c>
      <c r="I62" s="32">
        <v>681</v>
      </c>
      <c r="J62" s="32">
        <v>681</v>
      </c>
      <c r="K62" s="32">
        <v>2</v>
      </c>
      <c r="L62" s="46">
        <f t="shared" si="2"/>
        <v>5.7268722466960353</v>
      </c>
      <c r="M62" s="46">
        <f t="shared" si="3"/>
        <v>0</v>
      </c>
      <c r="N62" s="46">
        <f t="shared" si="4"/>
        <v>0</v>
      </c>
      <c r="O62" s="41" t="s">
        <v>1</v>
      </c>
      <c r="P62" s="50">
        <v>683</v>
      </c>
      <c r="Q62" s="30">
        <v>685.6</v>
      </c>
      <c r="R62" s="33">
        <v>5.2006664000000002</v>
      </c>
      <c r="S62" s="46">
        <f t="shared" si="5"/>
        <v>0.29368575624082233</v>
      </c>
      <c r="T62" s="46">
        <f t="shared" si="6"/>
        <v>0.6754772393538947</v>
      </c>
      <c r="U62" s="50">
        <f>IF($I62&lt;$P62,1,0)</f>
        <v>1</v>
      </c>
      <c r="V62" s="50">
        <f>IF($I62=$P62,1,0)</f>
        <v>0</v>
      </c>
      <c r="W62" s="50">
        <f>IF($I62&gt;$P62,1,0)</f>
        <v>0</v>
      </c>
    </row>
    <row r="63" spans="1:23" s="47" customFormat="1" x14ac:dyDescent="0.6">
      <c r="A63" s="41" t="s">
        <v>59</v>
      </c>
      <c r="B63" s="50">
        <v>20</v>
      </c>
      <c r="C63" s="25" t="s">
        <v>973</v>
      </c>
      <c r="D63" s="25" t="s">
        <v>979</v>
      </c>
      <c r="E63" s="25" t="s">
        <v>983</v>
      </c>
      <c r="F63" s="50">
        <v>2</v>
      </c>
      <c r="G63" s="50">
        <f t="shared" si="1"/>
        <v>664</v>
      </c>
      <c r="H63" s="57">
        <v>725</v>
      </c>
      <c r="I63" s="32">
        <v>664</v>
      </c>
      <c r="J63" s="32">
        <v>664</v>
      </c>
      <c r="K63" s="32">
        <v>2.0099999999999998</v>
      </c>
      <c r="L63" s="46">
        <f t="shared" si="2"/>
        <v>9.1867469879518069</v>
      </c>
      <c r="M63" s="46">
        <f t="shared" si="3"/>
        <v>0</v>
      </c>
      <c r="N63" s="46">
        <f t="shared" si="4"/>
        <v>0</v>
      </c>
      <c r="O63" s="41" t="s">
        <v>1</v>
      </c>
      <c r="P63" s="50">
        <v>667</v>
      </c>
      <c r="Q63" s="30">
        <v>668.8</v>
      </c>
      <c r="R63" s="33">
        <v>5.0457997199999998</v>
      </c>
      <c r="S63" s="46">
        <f t="shared" si="5"/>
        <v>0.45180722891566261</v>
      </c>
      <c r="T63" s="46">
        <f t="shared" si="6"/>
        <v>0.72289156626505346</v>
      </c>
      <c r="U63" s="50">
        <f>IF($I63&lt;$P63,1,0)</f>
        <v>1</v>
      </c>
      <c r="V63" s="50">
        <f>IF($I63=$P63,1,0)</f>
        <v>0</v>
      </c>
      <c r="W63" s="50">
        <f>IF($I63&gt;$P63,1,0)</f>
        <v>0</v>
      </c>
    </row>
    <row r="64" spans="1:23" s="47" customFormat="1" x14ac:dyDescent="0.6">
      <c r="A64" s="41" t="s">
        <v>60</v>
      </c>
      <c r="B64" s="50">
        <v>20</v>
      </c>
      <c r="C64" s="25" t="s">
        <v>973</v>
      </c>
      <c r="D64" s="25" t="s">
        <v>978</v>
      </c>
      <c r="E64" s="25" t="s">
        <v>980</v>
      </c>
      <c r="F64" s="50">
        <v>3</v>
      </c>
      <c r="G64" s="50">
        <f t="shared" si="1"/>
        <v>679</v>
      </c>
      <c r="H64" s="57">
        <v>799</v>
      </c>
      <c r="I64" s="32">
        <v>679</v>
      </c>
      <c r="J64" s="32">
        <v>679</v>
      </c>
      <c r="K64" s="32">
        <v>2.0099999999999998</v>
      </c>
      <c r="L64" s="46">
        <f t="shared" si="2"/>
        <v>17.673048600883654</v>
      </c>
      <c r="M64" s="46">
        <f t="shared" si="3"/>
        <v>0</v>
      </c>
      <c r="N64" s="46">
        <f t="shared" si="4"/>
        <v>0</v>
      </c>
      <c r="O64" s="41" t="s">
        <v>1</v>
      </c>
      <c r="P64" s="50">
        <v>682</v>
      </c>
      <c r="Q64" s="30">
        <v>683</v>
      </c>
      <c r="R64" s="33">
        <v>5.2418016600000001</v>
      </c>
      <c r="S64" s="46">
        <f t="shared" si="5"/>
        <v>0.4418262150220913</v>
      </c>
      <c r="T64" s="46">
        <f t="shared" si="6"/>
        <v>0.5891016200294551</v>
      </c>
      <c r="U64" s="50">
        <f>IF($I64&lt;$P64,1,0)</f>
        <v>1</v>
      </c>
      <c r="V64" s="50">
        <f>IF($I64=$P64,1,0)</f>
        <v>0</v>
      </c>
      <c r="W64" s="50">
        <f>IF($I64&gt;$P64,1,0)</f>
        <v>0</v>
      </c>
    </row>
    <row r="65" spans="1:23" s="47" customFormat="1" x14ac:dyDescent="0.6">
      <c r="A65" s="41" t="s">
        <v>61</v>
      </c>
      <c r="B65" s="50">
        <v>20</v>
      </c>
      <c r="C65" s="25" t="s">
        <v>973</v>
      </c>
      <c r="D65" s="25" t="s">
        <v>978</v>
      </c>
      <c r="E65" s="25" t="s">
        <v>980</v>
      </c>
      <c r="F65" s="50">
        <v>4</v>
      </c>
      <c r="G65" s="50">
        <f t="shared" si="1"/>
        <v>690</v>
      </c>
      <c r="H65" s="57">
        <v>747</v>
      </c>
      <c r="I65" s="32">
        <v>690</v>
      </c>
      <c r="J65" s="32">
        <v>690.6</v>
      </c>
      <c r="K65" s="32">
        <v>2.0099999999999998</v>
      </c>
      <c r="L65" s="46">
        <f t="shared" si="2"/>
        <v>8.2608695652173907</v>
      </c>
      <c r="M65" s="46">
        <f t="shared" si="3"/>
        <v>0</v>
      </c>
      <c r="N65" s="46">
        <f t="shared" si="4"/>
        <v>8.6956521739133735E-2</v>
      </c>
      <c r="O65" s="41" t="s">
        <v>1</v>
      </c>
      <c r="P65" s="50">
        <v>693</v>
      </c>
      <c r="Q65" s="30">
        <v>696</v>
      </c>
      <c r="R65" s="33">
        <v>4.8699491799999999</v>
      </c>
      <c r="S65" s="46">
        <f t="shared" si="5"/>
        <v>0.43478260869565216</v>
      </c>
      <c r="T65" s="46">
        <f t="shared" si="6"/>
        <v>0.86956521739130432</v>
      </c>
      <c r="U65" s="50">
        <f>IF($I65&lt;$P65,1,0)</f>
        <v>1</v>
      </c>
      <c r="V65" s="50">
        <f>IF($I65=$P65,1,0)</f>
        <v>0</v>
      </c>
      <c r="W65" s="50">
        <f>IF($I65&gt;$P65,1,0)</f>
        <v>0</v>
      </c>
    </row>
    <row r="66" spans="1:23" s="47" customFormat="1" x14ac:dyDescent="0.6">
      <c r="A66" s="47" t="s">
        <v>62</v>
      </c>
      <c r="B66" s="50">
        <v>20</v>
      </c>
      <c r="C66" s="25" t="s">
        <v>973</v>
      </c>
      <c r="D66" s="25" t="s">
        <v>978</v>
      </c>
      <c r="E66" s="25" t="s">
        <v>980</v>
      </c>
      <c r="F66" s="50">
        <v>5</v>
      </c>
      <c r="G66" s="50">
        <f t="shared" si="1"/>
        <v>669</v>
      </c>
      <c r="H66" s="57">
        <v>793</v>
      </c>
      <c r="I66" s="32">
        <v>669</v>
      </c>
      <c r="J66" s="32">
        <v>669</v>
      </c>
      <c r="K66" s="32">
        <v>2.0099999999999998</v>
      </c>
      <c r="L66" s="46">
        <f t="shared" si="2"/>
        <v>18.535127055306429</v>
      </c>
      <c r="M66" s="46">
        <f t="shared" si="3"/>
        <v>0</v>
      </c>
      <c r="N66" s="46">
        <f t="shared" si="4"/>
        <v>0</v>
      </c>
      <c r="O66" s="47" t="s">
        <v>1</v>
      </c>
      <c r="P66" s="50">
        <v>672</v>
      </c>
      <c r="Q66" s="30">
        <v>674.6</v>
      </c>
      <c r="R66" s="33">
        <v>5.1094676999999997</v>
      </c>
      <c r="S66" s="46">
        <f t="shared" si="5"/>
        <v>0.44843049327354262</v>
      </c>
      <c r="T66" s="46">
        <f t="shared" si="6"/>
        <v>0.8370702541106162</v>
      </c>
      <c r="U66" s="50">
        <f>IF($I66&lt;$P66,1,0)</f>
        <v>1</v>
      </c>
      <c r="V66" s="50">
        <f>IF($I66=$P66,1,0)</f>
        <v>0</v>
      </c>
      <c r="W66" s="50">
        <f>IF($I66&gt;$P66,1,0)</f>
        <v>0</v>
      </c>
    </row>
    <row r="67" spans="1:23" s="47" customFormat="1" x14ac:dyDescent="0.6">
      <c r="A67" s="41" t="s">
        <v>63</v>
      </c>
      <c r="B67" s="50">
        <v>20</v>
      </c>
      <c r="C67" s="25" t="s">
        <v>973</v>
      </c>
      <c r="D67" s="25" t="s">
        <v>978</v>
      </c>
      <c r="E67" s="25" t="s">
        <v>980</v>
      </c>
      <c r="F67" s="50">
        <v>6</v>
      </c>
      <c r="G67" s="50">
        <f t="shared" ref="G67:G130" si="7">MIN(I67,P67)</f>
        <v>710</v>
      </c>
      <c r="H67" s="57">
        <v>790</v>
      </c>
      <c r="I67" s="32">
        <v>710</v>
      </c>
      <c r="J67" s="32">
        <v>710</v>
      </c>
      <c r="K67" s="32">
        <v>2.0099999999999998</v>
      </c>
      <c r="L67" s="46">
        <f t="shared" ref="L67:L130" si="8">(H67-$G67)/$G67*100</f>
        <v>11.267605633802818</v>
      </c>
      <c r="M67" s="46">
        <f t="shared" ref="M67:M130" si="9">(I67-$G67)/$G67*100</f>
        <v>0</v>
      </c>
      <c r="N67" s="46">
        <f t="shared" ref="N67:N130" si="10">(J67-$G67)/$G67*100</f>
        <v>0</v>
      </c>
      <c r="O67" s="41" t="s">
        <v>1</v>
      </c>
      <c r="P67" s="50">
        <v>713</v>
      </c>
      <c r="Q67" s="30">
        <v>716.6</v>
      </c>
      <c r="R67" s="33">
        <v>5.2528623999999997</v>
      </c>
      <c r="S67" s="46">
        <f t="shared" ref="S67:S130" si="11">(P67-$G67)/$G67*100</f>
        <v>0.42253521126760557</v>
      </c>
      <c r="T67" s="46">
        <f t="shared" ref="T67:T130" si="12">(Q67-$G67)/$G67*100</f>
        <v>0.9295774647887356</v>
      </c>
      <c r="U67" s="50">
        <f>IF($I67&lt;$P67,1,0)</f>
        <v>1</v>
      </c>
      <c r="V67" s="50">
        <f>IF($I67=$P67,1,0)</f>
        <v>0</v>
      </c>
      <c r="W67" s="50">
        <f>IF($I67&gt;$P67,1,0)</f>
        <v>0</v>
      </c>
    </row>
    <row r="68" spans="1:23" s="47" customFormat="1" x14ac:dyDescent="0.6">
      <c r="A68" s="41" t="s">
        <v>64</v>
      </c>
      <c r="B68" s="50">
        <v>20</v>
      </c>
      <c r="C68" s="25" t="s">
        <v>973</v>
      </c>
      <c r="D68" s="25" t="s">
        <v>978</v>
      </c>
      <c r="E68" s="25" t="s">
        <v>980</v>
      </c>
      <c r="F68" s="50">
        <v>7</v>
      </c>
      <c r="G68" s="50">
        <f t="shared" si="7"/>
        <v>691</v>
      </c>
      <c r="H68" s="57">
        <v>729</v>
      </c>
      <c r="I68" s="32">
        <v>691</v>
      </c>
      <c r="J68" s="32">
        <v>691</v>
      </c>
      <c r="K68" s="32">
        <v>2.0099999999999998</v>
      </c>
      <c r="L68" s="46">
        <f t="shared" si="8"/>
        <v>5.4992764109985526</v>
      </c>
      <c r="M68" s="46">
        <f t="shared" si="9"/>
        <v>0</v>
      </c>
      <c r="N68" s="46">
        <f t="shared" si="10"/>
        <v>0</v>
      </c>
      <c r="O68" s="41" t="s">
        <v>1</v>
      </c>
      <c r="P68" s="50">
        <v>695</v>
      </c>
      <c r="Q68" s="30">
        <v>696.4</v>
      </c>
      <c r="R68" s="33">
        <v>4.7926715800000004</v>
      </c>
      <c r="S68" s="46">
        <f t="shared" si="11"/>
        <v>0.57887120115774238</v>
      </c>
      <c r="T68" s="46">
        <f t="shared" si="12"/>
        <v>0.78147612156294899</v>
      </c>
      <c r="U68" s="50">
        <f>IF($I68&lt;$P68,1,0)</f>
        <v>1</v>
      </c>
      <c r="V68" s="50">
        <f>IF($I68=$P68,1,0)</f>
        <v>0</v>
      </c>
      <c r="W68" s="50">
        <f>IF($I68&gt;$P68,1,0)</f>
        <v>0</v>
      </c>
    </row>
    <row r="69" spans="1:23" s="47" customFormat="1" x14ac:dyDescent="0.6">
      <c r="A69" s="41" t="s">
        <v>65</v>
      </c>
      <c r="B69" s="50">
        <v>20</v>
      </c>
      <c r="C69" s="25" t="s">
        <v>973</v>
      </c>
      <c r="D69" s="25" t="s">
        <v>978</v>
      </c>
      <c r="E69" s="25" t="s">
        <v>980</v>
      </c>
      <c r="F69" s="50">
        <v>8</v>
      </c>
      <c r="G69" s="50">
        <f t="shared" si="7"/>
        <v>683</v>
      </c>
      <c r="H69" s="57">
        <v>769</v>
      </c>
      <c r="I69" s="32">
        <v>683</v>
      </c>
      <c r="J69" s="32">
        <v>683.2</v>
      </c>
      <c r="K69" s="32">
        <v>2.0099999999999998</v>
      </c>
      <c r="L69" s="46">
        <f t="shared" si="8"/>
        <v>12.591508052708638</v>
      </c>
      <c r="M69" s="46">
        <f t="shared" si="9"/>
        <v>0</v>
      </c>
      <c r="N69" s="46">
        <f t="shared" si="10"/>
        <v>2.928257686677093E-2</v>
      </c>
      <c r="O69" s="41" t="s">
        <v>1</v>
      </c>
      <c r="P69" s="50">
        <v>686</v>
      </c>
      <c r="Q69" s="30">
        <v>687.2</v>
      </c>
      <c r="R69" s="33">
        <v>5.4518457400000004</v>
      </c>
      <c r="S69" s="46">
        <f t="shared" si="11"/>
        <v>0.43923865300146414</v>
      </c>
      <c r="T69" s="46">
        <f t="shared" si="12"/>
        <v>0.61493411420205646</v>
      </c>
      <c r="U69" s="50">
        <f>IF($I69&lt;$P69,1,0)</f>
        <v>1</v>
      </c>
      <c r="V69" s="50">
        <f>IF($I69=$P69,1,0)</f>
        <v>0</v>
      </c>
      <c r="W69" s="50">
        <f>IF($I69&gt;$P69,1,0)</f>
        <v>0</v>
      </c>
    </row>
    <row r="70" spans="1:23" s="47" customFormat="1" x14ac:dyDescent="0.6">
      <c r="A70" s="41" t="s">
        <v>66</v>
      </c>
      <c r="B70" s="50">
        <v>20</v>
      </c>
      <c r="C70" s="25" t="s">
        <v>973</v>
      </c>
      <c r="D70" s="25" t="s">
        <v>978</v>
      </c>
      <c r="E70" s="25" t="s">
        <v>980</v>
      </c>
      <c r="F70" s="50">
        <v>9</v>
      </c>
      <c r="G70" s="50">
        <f t="shared" si="7"/>
        <v>701</v>
      </c>
      <c r="H70" s="57">
        <v>778</v>
      </c>
      <c r="I70" s="32">
        <v>701</v>
      </c>
      <c r="J70" s="32">
        <v>701</v>
      </c>
      <c r="K70" s="32">
        <v>2.0099999999999998</v>
      </c>
      <c r="L70" s="46">
        <f t="shared" si="8"/>
        <v>10.984308131241084</v>
      </c>
      <c r="M70" s="46">
        <f t="shared" si="9"/>
        <v>0</v>
      </c>
      <c r="N70" s="46">
        <f t="shared" si="10"/>
        <v>0</v>
      </c>
      <c r="O70" s="41" t="s">
        <v>1</v>
      </c>
      <c r="P70" s="50">
        <v>701</v>
      </c>
      <c r="Q70" s="30">
        <v>706.4</v>
      </c>
      <c r="R70" s="33">
        <v>6.1059387599999999</v>
      </c>
      <c r="S70" s="46">
        <f t="shared" si="11"/>
        <v>0</v>
      </c>
      <c r="T70" s="46">
        <f t="shared" si="12"/>
        <v>0.77032810271041052</v>
      </c>
      <c r="U70" s="50">
        <f>IF($I70&lt;$P70,1,0)</f>
        <v>0</v>
      </c>
      <c r="V70" s="50">
        <f>IF($I70=$P70,1,0)</f>
        <v>1</v>
      </c>
      <c r="W70" s="50">
        <f>IF($I70&gt;$P70,1,0)</f>
        <v>0</v>
      </c>
    </row>
    <row r="71" spans="1:23" s="47" customFormat="1" x14ac:dyDescent="0.6">
      <c r="A71" s="41" t="s">
        <v>67</v>
      </c>
      <c r="B71" s="50">
        <v>20</v>
      </c>
      <c r="C71" s="25" t="s">
        <v>973</v>
      </c>
      <c r="D71" s="25" t="s">
        <v>978</v>
      </c>
      <c r="E71" s="25" t="s">
        <v>980</v>
      </c>
      <c r="F71" s="50">
        <v>10</v>
      </c>
      <c r="G71" s="50">
        <f t="shared" si="7"/>
        <v>688</v>
      </c>
      <c r="H71" s="57">
        <v>742</v>
      </c>
      <c r="I71" s="32">
        <v>688</v>
      </c>
      <c r="J71" s="32">
        <v>688</v>
      </c>
      <c r="K71" s="32">
        <v>2.0099999999999998</v>
      </c>
      <c r="L71" s="46">
        <f t="shared" si="8"/>
        <v>7.8488372093023253</v>
      </c>
      <c r="M71" s="46">
        <f t="shared" si="9"/>
        <v>0</v>
      </c>
      <c r="N71" s="46">
        <f t="shared" si="10"/>
        <v>0</v>
      </c>
      <c r="O71" s="41" t="s">
        <v>1</v>
      </c>
      <c r="P71" s="50">
        <v>689</v>
      </c>
      <c r="Q71" s="30">
        <v>692.8</v>
      </c>
      <c r="R71" s="33">
        <v>5.0923594799999998</v>
      </c>
      <c r="S71" s="46">
        <f t="shared" si="11"/>
        <v>0.14534883720930233</v>
      </c>
      <c r="T71" s="46">
        <f t="shared" si="12"/>
        <v>0.69767441860464452</v>
      </c>
      <c r="U71" s="50">
        <f>IF($I71&lt;$P71,1,0)</f>
        <v>1</v>
      </c>
      <c r="V71" s="50">
        <f>IF($I71=$P71,1,0)</f>
        <v>0</v>
      </c>
      <c r="W71" s="50">
        <f>IF($I71&gt;$P71,1,0)</f>
        <v>0</v>
      </c>
    </row>
    <row r="72" spans="1:23" x14ac:dyDescent="0.6">
      <c r="A72" s="41" t="s">
        <v>68</v>
      </c>
      <c r="B72" s="50">
        <v>20</v>
      </c>
      <c r="C72" s="25" t="s">
        <v>973</v>
      </c>
      <c r="D72" s="25" t="s">
        <v>978</v>
      </c>
      <c r="E72" s="25" t="s">
        <v>984</v>
      </c>
      <c r="F72" s="50">
        <v>1</v>
      </c>
      <c r="G72" s="50">
        <f t="shared" si="7"/>
        <v>681</v>
      </c>
      <c r="H72" s="57">
        <v>740</v>
      </c>
      <c r="I72" s="32">
        <v>681</v>
      </c>
      <c r="J72" s="32">
        <v>681</v>
      </c>
      <c r="K72" s="32">
        <v>2.0099999999999998</v>
      </c>
      <c r="L72" s="46">
        <f t="shared" si="8"/>
        <v>8.6637298091042574</v>
      </c>
      <c r="M72" s="46">
        <f t="shared" si="9"/>
        <v>0</v>
      </c>
      <c r="N72" s="46">
        <f t="shared" si="10"/>
        <v>0</v>
      </c>
      <c r="O72" s="41" t="s">
        <v>1</v>
      </c>
      <c r="P72" s="50">
        <v>683</v>
      </c>
      <c r="Q72" s="30">
        <v>686.6</v>
      </c>
      <c r="R72" s="33">
        <v>5.1873774600000004</v>
      </c>
      <c r="S72" s="46">
        <f t="shared" si="11"/>
        <v>0.29368575624082233</v>
      </c>
      <c r="T72" s="46">
        <f t="shared" si="12"/>
        <v>0.82232011747430578</v>
      </c>
      <c r="U72" s="50">
        <f>IF($I72&lt;$P72,1,0)</f>
        <v>1</v>
      </c>
      <c r="V72" s="50">
        <f>IF($I72=$P72,1,0)</f>
        <v>0</v>
      </c>
      <c r="W72" s="50">
        <f>IF($I72&gt;$P72,1,0)</f>
        <v>0</v>
      </c>
    </row>
    <row r="73" spans="1:23" x14ac:dyDescent="0.6">
      <c r="A73" s="41" t="s">
        <v>69</v>
      </c>
      <c r="B73" s="50">
        <v>20</v>
      </c>
      <c r="C73" s="25" t="s">
        <v>973</v>
      </c>
      <c r="D73" s="25" t="s">
        <v>978</v>
      </c>
      <c r="E73" s="25" t="s">
        <v>984</v>
      </c>
      <c r="F73" s="50">
        <v>2</v>
      </c>
      <c r="G73" s="50">
        <f t="shared" si="7"/>
        <v>664</v>
      </c>
      <c r="H73" s="57">
        <v>767</v>
      </c>
      <c r="I73" s="32">
        <v>664</v>
      </c>
      <c r="J73" s="32">
        <v>664</v>
      </c>
      <c r="K73" s="32">
        <v>2.0099999999999998</v>
      </c>
      <c r="L73" s="46">
        <f t="shared" si="8"/>
        <v>15.512048192771086</v>
      </c>
      <c r="M73" s="46">
        <f t="shared" si="9"/>
        <v>0</v>
      </c>
      <c r="N73" s="46">
        <f t="shared" si="10"/>
        <v>0</v>
      </c>
      <c r="O73" s="41" t="s">
        <v>1</v>
      </c>
      <c r="P73" s="50">
        <v>668</v>
      </c>
      <c r="Q73" s="30">
        <v>670.4</v>
      </c>
      <c r="R73" s="33">
        <v>5.1871549400000001</v>
      </c>
      <c r="S73" s="46">
        <f t="shared" si="11"/>
        <v>0.60240963855421692</v>
      </c>
      <c r="T73" s="46">
        <f t="shared" si="12"/>
        <v>0.96385542168674365</v>
      </c>
      <c r="U73" s="50">
        <f>IF($I73&lt;$P73,1,0)</f>
        <v>1</v>
      </c>
      <c r="V73" s="50">
        <f>IF($I73=$P73,1,0)</f>
        <v>0</v>
      </c>
      <c r="W73" s="50">
        <f>IF($I73&gt;$P73,1,0)</f>
        <v>0</v>
      </c>
    </row>
    <row r="74" spans="1:23" x14ac:dyDescent="0.6">
      <c r="A74" s="41" t="s">
        <v>70</v>
      </c>
      <c r="B74" s="50">
        <v>20</v>
      </c>
      <c r="C74" s="25" t="s">
        <v>973</v>
      </c>
      <c r="D74" s="25" t="s">
        <v>978</v>
      </c>
      <c r="E74" s="25" t="s">
        <v>982</v>
      </c>
      <c r="F74" s="50">
        <v>3</v>
      </c>
      <c r="G74" s="50">
        <f t="shared" si="7"/>
        <v>680</v>
      </c>
      <c r="H74" s="57">
        <v>899</v>
      </c>
      <c r="I74" s="32">
        <v>680</v>
      </c>
      <c r="J74" s="32">
        <v>680</v>
      </c>
      <c r="K74" s="32">
        <v>2.0099999999999998</v>
      </c>
      <c r="L74" s="46">
        <f t="shared" si="8"/>
        <v>32.205882352941181</v>
      </c>
      <c r="M74" s="46">
        <f t="shared" si="9"/>
        <v>0</v>
      </c>
      <c r="N74" s="46">
        <f t="shared" si="10"/>
        <v>0</v>
      </c>
      <c r="O74" s="41" t="s">
        <v>1</v>
      </c>
      <c r="P74" s="50">
        <v>682</v>
      </c>
      <c r="Q74" s="30">
        <v>683</v>
      </c>
      <c r="R74" s="33">
        <v>5.4763249600000004</v>
      </c>
      <c r="S74" s="46">
        <f t="shared" si="11"/>
        <v>0.29411764705882354</v>
      </c>
      <c r="T74" s="46">
        <f t="shared" si="12"/>
        <v>0.44117647058823528</v>
      </c>
      <c r="U74" s="50">
        <f>IF($I74&lt;$P74,1,0)</f>
        <v>1</v>
      </c>
      <c r="V74" s="50">
        <f>IF($I74=$P74,1,0)</f>
        <v>0</v>
      </c>
      <c r="W74" s="50">
        <f>IF($I74&gt;$P74,1,0)</f>
        <v>0</v>
      </c>
    </row>
    <row r="75" spans="1:23" x14ac:dyDescent="0.6">
      <c r="A75" s="41" t="s">
        <v>71</v>
      </c>
      <c r="B75" s="50">
        <v>20</v>
      </c>
      <c r="C75" s="25" t="s">
        <v>973</v>
      </c>
      <c r="D75" s="25" t="s">
        <v>978</v>
      </c>
      <c r="E75" s="25" t="s">
        <v>982</v>
      </c>
      <c r="F75" s="50">
        <v>4</v>
      </c>
      <c r="G75" s="50">
        <f t="shared" si="7"/>
        <v>690</v>
      </c>
      <c r="H75" s="57">
        <v>808</v>
      </c>
      <c r="I75" s="32">
        <v>690</v>
      </c>
      <c r="J75" s="32">
        <v>690.8</v>
      </c>
      <c r="K75" s="32">
        <v>2.0099999999999998</v>
      </c>
      <c r="L75" s="46">
        <f t="shared" si="8"/>
        <v>17.101449275362317</v>
      </c>
      <c r="M75" s="46">
        <f t="shared" si="9"/>
        <v>0</v>
      </c>
      <c r="N75" s="46">
        <f t="shared" si="10"/>
        <v>0.11594202898550066</v>
      </c>
      <c r="O75" s="41" t="s">
        <v>1</v>
      </c>
      <c r="P75" s="50">
        <v>694</v>
      </c>
      <c r="Q75" s="30">
        <v>694.8</v>
      </c>
      <c r="R75" s="33">
        <v>4.9149725399999999</v>
      </c>
      <c r="S75" s="46">
        <f t="shared" si="11"/>
        <v>0.57971014492753625</v>
      </c>
      <c r="T75" s="46">
        <f t="shared" si="12"/>
        <v>0.69565217391303691</v>
      </c>
      <c r="U75" s="50">
        <f>IF($I75&lt;$P75,1,0)</f>
        <v>1</v>
      </c>
      <c r="V75" s="50">
        <f>IF($I75=$P75,1,0)</f>
        <v>0</v>
      </c>
      <c r="W75" s="50">
        <f>IF($I75&gt;$P75,1,0)</f>
        <v>0</v>
      </c>
    </row>
    <row r="76" spans="1:23" s="47" customFormat="1" x14ac:dyDescent="0.6">
      <c r="A76" s="47" t="s">
        <v>72</v>
      </c>
      <c r="B76" s="50">
        <v>20</v>
      </c>
      <c r="C76" s="25" t="s">
        <v>973</v>
      </c>
      <c r="D76" s="25" t="s">
        <v>978</v>
      </c>
      <c r="E76" s="25" t="s">
        <v>982</v>
      </c>
      <c r="F76" s="50">
        <v>5</v>
      </c>
      <c r="G76" s="50">
        <f t="shared" si="7"/>
        <v>669</v>
      </c>
      <c r="H76" s="57">
        <v>893</v>
      </c>
      <c r="I76" s="32">
        <v>669</v>
      </c>
      <c r="J76" s="32">
        <v>669.6</v>
      </c>
      <c r="K76" s="32">
        <v>2.0099999999999998</v>
      </c>
      <c r="L76" s="46">
        <f t="shared" si="8"/>
        <v>33.482810164424514</v>
      </c>
      <c r="M76" s="46">
        <f t="shared" si="9"/>
        <v>0</v>
      </c>
      <c r="N76" s="46">
        <f t="shared" si="10"/>
        <v>8.9686098654711915E-2</v>
      </c>
      <c r="O76" s="47" t="s">
        <v>1</v>
      </c>
      <c r="P76" s="50">
        <v>673</v>
      </c>
      <c r="Q76" s="30">
        <v>675.2</v>
      </c>
      <c r="R76" s="33">
        <v>5.1529116200000002</v>
      </c>
      <c r="S76" s="46">
        <f t="shared" si="11"/>
        <v>0.59790732436472349</v>
      </c>
      <c r="T76" s="46">
        <f t="shared" si="12"/>
        <v>0.9267563527653282</v>
      </c>
      <c r="U76" s="50">
        <f>IF($I76&lt;$P76,1,0)</f>
        <v>1</v>
      </c>
      <c r="V76" s="50">
        <f>IF($I76=$P76,1,0)</f>
        <v>0</v>
      </c>
      <c r="W76" s="50">
        <f>IF($I76&gt;$P76,1,0)</f>
        <v>0</v>
      </c>
    </row>
    <row r="77" spans="1:23" x14ac:dyDescent="0.6">
      <c r="A77" s="41" t="s">
        <v>73</v>
      </c>
      <c r="B77" s="50">
        <v>20</v>
      </c>
      <c r="C77" s="25" t="s">
        <v>973</v>
      </c>
      <c r="D77" s="25" t="s">
        <v>978</v>
      </c>
      <c r="E77" s="25" t="s">
        <v>982</v>
      </c>
      <c r="F77" s="50">
        <v>6</v>
      </c>
      <c r="G77" s="50">
        <f t="shared" si="7"/>
        <v>710</v>
      </c>
      <c r="H77" s="57">
        <v>860</v>
      </c>
      <c r="I77" s="32">
        <v>710</v>
      </c>
      <c r="J77" s="32">
        <v>710</v>
      </c>
      <c r="K77" s="32">
        <v>2.0099999999999998</v>
      </c>
      <c r="L77" s="46">
        <f t="shared" si="8"/>
        <v>21.12676056338028</v>
      </c>
      <c r="M77" s="46">
        <f t="shared" si="9"/>
        <v>0</v>
      </c>
      <c r="N77" s="46">
        <f t="shared" si="10"/>
        <v>0</v>
      </c>
      <c r="O77" s="41" t="s">
        <v>1</v>
      </c>
      <c r="P77" s="50">
        <v>715</v>
      </c>
      <c r="Q77" s="30">
        <v>720.2</v>
      </c>
      <c r="R77" s="33">
        <v>5.0865010599999998</v>
      </c>
      <c r="S77" s="46">
        <f t="shared" si="11"/>
        <v>0.70422535211267612</v>
      </c>
      <c r="T77" s="46">
        <f t="shared" si="12"/>
        <v>1.4366197183098655</v>
      </c>
      <c r="U77" s="50">
        <f>IF($I77&lt;$P77,1,0)</f>
        <v>1</v>
      </c>
      <c r="V77" s="50">
        <f>IF($I77=$P77,1,0)</f>
        <v>0</v>
      </c>
      <c r="W77" s="50">
        <f>IF($I77&gt;$P77,1,0)</f>
        <v>0</v>
      </c>
    </row>
    <row r="78" spans="1:23" x14ac:dyDescent="0.6">
      <c r="A78" s="41" t="s">
        <v>74</v>
      </c>
      <c r="B78" s="50">
        <v>20</v>
      </c>
      <c r="C78" s="25" t="s">
        <v>973</v>
      </c>
      <c r="D78" s="25" t="s">
        <v>978</v>
      </c>
      <c r="E78" s="25" t="s">
        <v>982</v>
      </c>
      <c r="F78" s="50">
        <v>7</v>
      </c>
      <c r="G78" s="50">
        <f t="shared" si="7"/>
        <v>691</v>
      </c>
      <c r="H78" s="57">
        <v>767</v>
      </c>
      <c r="I78" s="32">
        <v>691</v>
      </c>
      <c r="J78" s="32">
        <v>691</v>
      </c>
      <c r="K78" s="32">
        <v>2.0099999999999998</v>
      </c>
      <c r="L78" s="46">
        <f t="shared" si="8"/>
        <v>10.998552821997105</v>
      </c>
      <c r="M78" s="46">
        <f t="shared" si="9"/>
        <v>0</v>
      </c>
      <c r="N78" s="46">
        <f t="shared" si="10"/>
        <v>0</v>
      </c>
      <c r="O78" s="41" t="s">
        <v>1</v>
      </c>
      <c r="P78" s="50">
        <v>695</v>
      </c>
      <c r="Q78" s="30">
        <v>695.8</v>
      </c>
      <c r="R78" s="33">
        <v>5.1565151800000004</v>
      </c>
      <c r="S78" s="46">
        <f t="shared" si="11"/>
        <v>0.57887120115774238</v>
      </c>
      <c r="T78" s="46">
        <f t="shared" si="12"/>
        <v>0.6946454413892843</v>
      </c>
      <c r="U78" s="50">
        <f>IF($I78&lt;$P78,1,0)</f>
        <v>1</v>
      </c>
      <c r="V78" s="50">
        <f>IF($I78=$P78,1,0)</f>
        <v>0</v>
      </c>
      <c r="W78" s="50">
        <f>IF($I78&gt;$P78,1,0)</f>
        <v>0</v>
      </c>
    </row>
    <row r="79" spans="1:23" x14ac:dyDescent="0.6">
      <c r="A79" s="41" t="s">
        <v>75</v>
      </c>
      <c r="B79" s="50">
        <v>20</v>
      </c>
      <c r="C79" s="25" t="s">
        <v>973</v>
      </c>
      <c r="D79" s="25" t="s">
        <v>978</v>
      </c>
      <c r="E79" s="25" t="s">
        <v>982</v>
      </c>
      <c r="F79" s="50">
        <v>8</v>
      </c>
      <c r="G79" s="50">
        <f t="shared" si="7"/>
        <v>683</v>
      </c>
      <c r="H79" s="57">
        <v>851</v>
      </c>
      <c r="I79" s="32">
        <v>683</v>
      </c>
      <c r="J79" s="32">
        <v>683.2</v>
      </c>
      <c r="K79" s="32">
        <v>2.0099999999999998</v>
      </c>
      <c r="L79" s="46">
        <f t="shared" si="8"/>
        <v>24.597364568081993</v>
      </c>
      <c r="M79" s="46">
        <f t="shared" si="9"/>
        <v>0</v>
      </c>
      <c r="N79" s="46">
        <f t="shared" si="10"/>
        <v>2.928257686677093E-2</v>
      </c>
      <c r="O79" s="41" t="s">
        <v>1</v>
      </c>
      <c r="P79" s="50">
        <v>686</v>
      </c>
      <c r="Q79" s="30">
        <v>688.4</v>
      </c>
      <c r="R79" s="33">
        <v>5.4183084399999997</v>
      </c>
      <c r="S79" s="46">
        <f t="shared" si="11"/>
        <v>0.43923865300146414</v>
      </c>
      <c r="T79" s="46">
        <f t="shared" si="12"/>
        <v>0.79062957540263212</v>
      </c>
      <c r="U79" s="50">
        <f>IF($I79&lt;$P79,1,0)</f>
        <v>1</v>
      </c>
      <c r="V79" s="50">
        <f>IF($I79=$P79,1,0)</f>
        <v>0</v>
      </c>
      <c r="W79" s="50">
        <f>IF($I79&gt;$P79,1,0)</f>
        <v>0</v>
      </c>
    </row>
    <row r="80" spans="1:23" x14ac:dyDescent="0.6">
      <c r="A80" s="41" t="s">
        <v>76</v>
      </c>
      <c r="B80" s="50">
        <v>20</v>
      </c>
      <c r="C80" s="25" t="s">
        <v>973</v>
      </c>
      <c r="D80" s="25" t="s">
        <v>978</v>
      </c>
      <c r="E80" s="25" t="s">
        <v>982</v>
      </c>
      <c r="F80" s="50">
        <v>9</v>
      </c>
      <c r="G80" s="50">
        <f t="shared" si="7"/>
        <v>701</v>
      </c>
      <c r="H80" s="57">
        <v>838</v>
      </c>
      <c r="I80" s="32">
        <v>701</v>
      </c>
      <c r="J80" s="32">
        <v>701</v>
      </c>
      <c r="K80" s="32">
        <v>2.0099999999999998</v>
      </c>
      <c r="L80" s="46">
        <f t="shared" si="8"/>
        <v>19.543509272467904</v>
      </c>
      <c r="M80" s="46">
        <f t="shared" si="9"/>
        <v>0</v>
      </c>
      <c r="N80" s="46">
        <f t="shared" si="10"/>
        <v>0</v>
      </c>
      <c r="O80" s="41" t="s">
        <v>1</v>
      </c>
      <c r="P80" s="50">
        <v>704</v>
      </c>
      <c r="Q80" s="30">
        <v>705</v>
      </c>
      <c r="R80" s="33">
        <v>6.5271194399999999</v>
      </c>
      <c r="S80" s="46">
        <f t="shared" si="11"/>
        <v>0.42796005706134094</v>
      </c>
      <c r="T80" s="46">
        <f t="shared" si="12"/>
        <v>0.57061340941512129</v>
      </c>
      <c r="U80" s="50">
        <f>IF($I80&lt;$P80,1,0)</f>
        <v>1</v>
      </c>
      <c r="V80" s="50">
        <f>IF($I80=$P80,1,0)</f>
        <v>0</v>
      </c>
      <c r="W80" s="50">
        <f>IF($I80&gt;$P80,1,0)</f>
        <v>0</v>
      </c>
    </row>
    <row r="81" spans="1:23" x14ac:dyDescent="0.6">
      <c r="A81" s="41" t="s">
        <v>77</v>
      </c>
      <c r="B81" s="50">
        <v>20</v>
      </c>
      <c r="C81" s="25" t="s">
        <v>973</v>
      </c>
      <c r="D81" s="25" t="s">
        <v>978</v>
      </c>
      <c r="E81" s="25" t="s">
        <v>982</v>
      </c>
      <c r="F81" s="50">
        <v>10</v>
      </c>
      <c r="G81" s="50">
        <f t="shared" si="7"/>
        <v>688</v>
      </c>
      <c r="H81" s="57">
        <v>807</v>
      </c>
      <c r="I81" s="32">
        <v>688</v>
      </c>
      <c r="J81" s="32">
        <v>688</v>
      </c>
      <c r="K81" s="32">
        <v>2.0099999999999998</v>
      </c>
      <c r="L81" s="46">
        <f t="shared" si="8"/>
        <v>17.296511627906977</v>
      </c>
      <c r="M81" s="46">
        <f t="shared" si="9"/>
        <v>0</v>
      </c>
      <c r="N81" s="46">
        <f t="shared" si="10"/>
        <v>0</v>
      </c>
      <c r="O81" s="41" t="s">
        <v>1</v>
      </c>
      <c r="P81" s="50">
        <v>692</v>
      </c>
      <c r="Q81" s="30">
        <v>693.4</v>
      </c>
      <c r="R81" s="33">
        <v>5.1069760999999998</v>
      </c>
      <c r="S81" s="46">
        <f t="shared" si="11"/>
        <v>0.58139534883720934</v>
      </c>
      <c r="T81" s="46">
        <f t="shared" si="12"/>
        <v>0.78488372093022929</v>
      </c>
      <c r="U81" s="50">
        <f>IF($I81&lt;$P81,1,0)</f>
        <v>1</v>
      </c>
      <c r="V81" s="50">
        <f>IF($I81=$P81,1,0)</f>
        <v>0</v>
      </c>
      <c r="W81" s="50">
        <f>IF($I81&gt;$P81,1,0)</f>
        <v>0</v>
      </c>
    </row>
    <row r="82" spans="1:23" x14ac:dyDescent="0.6">
      <c r="A82" s="41" t="s">
        <v>78</v>
      </c>
      <c r="B82" s="50">
        <v>25</v>
      </c>
      <c r="C82" s="51" t="s">
        <v>971</v>
      </c>
      <c r="D82" s="25" t="s">
        <v>977</v>
      </c>
      <c r="E82" s="25" t="s">
        <v>981</v>
      </c>
      <c r="F82" s="50">
        <v>1</v>
      </c>
      <c r="G82" s="50">
        <f t="shared" si="7"/>
        <v>482</v>
      </c>
      <c r="H82" s="57">
        <v>629</v>
      </c>
      <c r="I82" s="32">
        <v>482</v>
      </c>
      <c r="J82" s="32">
        <v>482.4</v>
      </c>
      <c r="K82" s="32">
        <v>2.5</v>
      </c>
      <c r="L82" s="46">
        <f t="shared" si="8"/>
        <v>30.497925311203321</v>
      </c>
      <c r="M82" s="46">
        <f t="shared" si="9"/>
        <v>0</v>
      </c>
      <c r="N82" s="46">
        <f t="shared" si="10"/>
        <v>8.2987551867215195E-2</v>
      </c>
      <c r="O82" s="41" t="s">
        <v>1</v>
      </c>
      <c r="P82" s="50">
        <v>487</v>
      </c>
      <c r="Q82" s="30">
        <v>490</v>
      </c>
      <c r="R82" s="33">
        <v>5.8074347399999997</v>
      </c>
      <c r="S82" s="46">
        <f t="shared" si="11"/>
        <v>1.0373443983402488</v>
      </c>
      <c r="T82" s="46">
        <f t="shared" si="12"/>
        <v>1.6597510373443984</v>
      </c>
      <c r="U82" s="50">
        <f>IF($I82&lt;$P82,1,0)</f>
        <v>1</v>
      </c>
      <c r="V82" s="50">
        <f>IF($I82=$P82,1,0)</f>
        <v>0</v>
      </c>
      <c r="W82" s="50">
        <f>IF($I82&gt;$P82,1,0)</f>
        <v>0</v>
      </c>
    </row>
    <row r="83" spans="1:23" x14ac:dyDescent="0.6">
      <c r="A83" s="41" t="s">
        <v>79</v>
      </c>
      <c r="B83" s="50">
        <v>25</v>
      </c>
      <c r="C83" s="51" t="s">
        <v>971</v>
      </c>
      <c r="D83" s="25" t="s">
        <v>977</v>
      </c>
      <c r="E83" s="25" t="s">
        <v>983</v>
      </c>
      <c r="F83" s="50">
        <v>2</v>
      </c>
      <c r="G83" s="50">
        <f t="shared" si="7"/>
        <v>465</v>
      </c>
      <c r="H83" s="57">
        <v>516</v>
      </c>
      <c r="I83" s="32">
        <v>465</v>
      </c>
      <c r="J83" s="32">
        <v>465</v>
      </c>
      <c r="K83" s="32">
        <v>2.5</v>
      </c>
      <c r="L83" s="46">
        <f t="shared" si="8"/>
        <v>10.967741935483872</v>
      </c>
      <c r="M83" s="46">
        <f t="shared" si="9"/>
        <v>0</v>
      </c>
      <c r="N83" s="46">
        <f t="shared" si="10"/>
        <v>0</v>
      </c>
      <c r="O83" s="41" t="s">
        <v>1</v>
      </c>
      <c r="P83" s="50">
        <v>471</v>
      </c>
      <c r="Q83" s="30">
        <v>474.6</v>
      </c>
      <c r="R83" s="33">
        <v>6.0406323000000004</v>
      </c>
      <c r="S83" s="46">
        <f t="shared" si="11"/>
        <v>1.2903225806451613</v>
      </c>
      <c r="T83" s="46">
        <f t="shared" si="12"/>
        <v>2.0645161290322629</v>
      </c>
      <c r="U83" s="50">
        <f>IF($I83&lt;$P83,1,0)</f>
        <v>1</v>
      </c>
      <c r="V83" s="50">
        <f>IF($I83=$P83,1,0)</f>
        <v>0</v>
      </c>
      <c r="W83" s="50">
        <f>IF($I83&gt;$P83,1,0)</f>
        <v>0</v>
      </c>
    </row>
    <row r="84" spans="1:23" x14ac:dyDescent="0.6">
      <c r="A84" s="41" t="s">
        <v>80</v>
      </c>
      <c r="B84" s="50">
        <v>25</v>
      </c>
      <c r="C84" s="51" t="s">
        <v>970</v>
      </c>
      <c r="D84" s="25" t="s">
        <v>976</v>
      </c>
      <c r="E84" s="25" t="s">
        <v>980</v>
      </c>
      <c r="F84" s="50">
        <v>3</v>
      </c>
      <c r="G84" s="50">
        <f t="shared" si="7"/>
        <v>478</v>
      </c>
      <c r="H84" s="57">
        <v>585</v>
      </c>
      <c r="I84" s="32">
        <v>478</v>
      </c>
      <c r="J84" s="32">
        <v>478</v>
      </c>
      <c r="K84" s="32">
        <v>2.5</v>
      </c>
      <c r="L84" s="46">
        <f t="shared" si="8"/>
        <v>22.384937238493723</v>
      </c>
      <c r="M84" s="46">
        <f t="shared" si="9"/>
        <v>0</v>
      </c>
      <c r="N84" s="46">
        <f t="shared" si="10"/>
        <v>0</v>
      </c>
      <c r="O84" s="41" t="s">
        <v>1</v>
      </c>
      <c r="P84" s="50">
        <v>484</v>
      </c>
      <c r="Q84" s="30">
        <v>486.2</v>
      </c>
      <c r="R84" s="33">
        <v>5.9384192000000002</v>
      </c>
      <c r="S84" s="46">
        <f t="shared" si="11"/>
        <v>1.2552301255230125</v>
      </c>
      <c r="T84" s="46">
        <f t="shared" si="12"/>
        <v>1.7154811715481149</v>
      </c>
      <c r="U84" s="50">
        <f>IF($I84&lt;$P84,1,0)</f>
        <v>1</v>
      </c>
      <c r="V84" s="50">
        <f>IF($I84=$P84,1,0)</f>
        <v>0</v>
      </c>
      <c r="W84" s="50">
        <f>IF($I84&gt;$P84,1,0)</f>
        <v>0</v>
      </c>
    </row>
    <row r="85" spans="1:23" x14ac:dyDescent="0.6">
      <c r="A85" s="41" t="s">
        <v>81</v>
      </c>
      <c r="B85" s="50">
        <v>25</v>
      </c>
      <c r="C85" s="51" t="s">
        <v>970</v>
      </c>
      <c r="D85" s="25" t="s">
        <v>976</v>
      </c>
      <c r="E85" s="25" t="s">
        <v>980</v>
      </c>
      <c r="F85" s="50">
        <v>4</v>
      </c>
      <c r="G85" s="50">
        <f t="shared" si="7"/>
        <v>489</v>
      </c>
      <c r="H85" s="57">
        <v>606</v>
      </c>
      <c r="I85" s="32">
        <v>489</v>
      </c>
      <c r="J85" s="32">
        <v>489</v>
      </c>
      <c r="K85" s="32">
        <v>2.5099999999999998</v>
      </c>
      <c r="L85" s="46">
        <f t="shared" si="8"/>
        <v>23.926380368098162</v>
      </c>
      <c r="M85" s="46">
        <f t="shared" si="9"/>
        <v>0</v>
      </c>
      <c r="N85" s="46">
        <f t="shared" si="10"/>
        <v>0</v>
      </c>
      <c r="O85" s="41" t="s">
        <v>1</v>
      </c>
      <c r="P85" s="50">
        <v>492</v>
      </c>
      <c r="Q85" s="30">
        <v>495.8</v>
      </c>
      <c r="R85" s="33">
        <v>6.2474739799999996</v>
      </c>
      <c r="S85" s="46">
        <f t="shared" si="11"/>
        <v>0.61349693251533743</v>
      </c>
      <c r="T85" s="46">
        <f t="shared" si="12"/>
        <v>1.3905930470347672</v>
      </c>
      <c r="U85" s="50">
        <f>IF($I85&lt;$P85,1,0)</f>
        <v>1</v>
      </c>
      <c r="V85" s="50">
        <f>IF($I85=$P85,1,0)</f>
        <v>0</v>
      </c>
      <c r="W85" s="50">
        <f>IF($I85&gt;$P85,1,0)</f>
        <v>0</v>
      </c>
    </row>
    <row r="86" spans="1:23" x14ac:dyDescent="0.6">
      <c r="A86" s="41" t="s">
        <v>82</v>
      </c>
      <c r="B86" s="50">
        <v>25</v>
      </c>
      <c r="C86" s="51" t="s">
        <v>970</v>
      </c>
      <c r="D86" s="25" t="s">
        <v>976</v>
      </c>
      <c r="E86" s="25" t="s">
        <v>980</v>
      </c>
      <c r="F86" s="50">
        <v>5</v>
      </c>
      <c r="G86" s="50">
        <f t="shared" si="7"/>
        <v>468</v>
      </c>
      <c r="H86" s="57">
        <v>599</v>
      </c>
      <c r="I86" s="32">
        <v>468</v>
      </c>
      <c r="J86" s="32">
        <v>468.2</v>
      </c>
      <c r="K86" s="32">
        <v>2.5099999999999998</v>
      </c>
      <c r="L86" s="46">
        <f t="shared" si="8"/>
        <v>27.991452991452991</v>
      </c>
      <c r="M86" s="46">
        <f t="shared" si="9"/>
        <v>0</v>
      </c>
      <c r="N86" s="46">
        <f t="shared" si="10"/>
        <v>4.2735042735040307E-2</v>
      </c>
      <c r="O86" s="41" t="s">
        <v>1</v>
      </c>
      <c r="P86" s="50">
        <v>475</v>
      </c>
      <c r="Q86" s="30">
        <v>477.6</v>
      </c>
      <c r="R86" s="33">
        <v>6.1657723000000004</v>
      </c>
      <c r="S86" s="46">
        <f t="shared" si="11"/>
        <v>1.4957264957264957</v>
      </c>
      <c r="T86" s="46">
        <f t="shared" si="12"/>
        <v>2.051282051282056</v>
      </c>
      <c r="U86" s="50">
        <f>IF($I86&lt;$P86,1,0)</f>
        <v>1</v>
      </c>
      <c r="V86" s="50">
        <f>IF($I86=$P86,1,0)</f>
        <v>0</v>
      </c>
      <c r="W86" s="50">
        <f>IF($I86&gt;$P86,1,0)</f>
        <v>0</v>
      </c>
    </row>
    <row r="87" spans="1:23" x14ac:dyDescent="0.6">
      <c r="A87" s="41" t="s">
        <v>83</v>
      </c>
      <c r="B87" s="50">
        <v>25</v>
      </c>
      <c r="C87" s="51" t="s">
        <v>970</v>
      </c>
      <c r="D87" s="25" t="s">
        <v>976</v>
      </c>
      <c r="E87" s="25" t="s">
        <v>980</v>
      </c>
      <c r="F87" s="50">
        <v>6</v>
      </c>
      <c r="G87" s="50">
        <f t="shared" si="7"/>
        <v>504</v>
      </c>
      <c r="H87" s="57">
        <v>587</v>
      </c>
      <c r="I87" s="32">
        <v>504</v>
      </c>
      <c r="J87" s="32">
        <v>504</v>
      </c>
      <c r="K87" s="32">
        <v>2.5099999999999998</v>
      </c>
      <c r="L87" s="46">
        <f t="shared" si="8"/>
        <v>16.468253968253968</v>
      </c>
      <c r="M87" s="46">
        <f t="shared" si="9"/>
        <v>0</v>
      </c>
      <c r="N87" s="46">
        <f t="shared" si="10"/>
        <v>0</v>
      </c>
      <c r="O87" s="41" t="s">
        <v>1</v>
      </c>
      <c r="P87" s="50">
        <v>507</v>
      </c>
      <c r="Q87" s="30">
        <v>509.4</v>
      </c>
      <c r="R87" s="33">
        <v>5.6880971200000001</v>
      </c>
      <c r="S87" s="46">
        <f t="shared" si="11"/>
        <v>0.59523809523809523</v>
      </c>
      <c r="T87" s="46">
        <f t="shared" si="12"/>
        <v>1.071428571428567</v>
      </c>
      <c r="U87" s="50">
        <f>IF($I87&lt;$P87,1,0)</f>
        <v>1</v>
      </c>
      <c r="V87" s="50">
        <f>IF($I87=$P87,1,0)</f>
        <v>0</v>
      </c>
      <c r="W87" s="50">
        <f>IF($I87&gt;$P87,1,0)</f>
        <v>0</v>
      </c>
    </row>
    <row r="88" spans="1:23" x14ac:dyDescent="0.6">
      <c r="A88" s="41" t="s">
        <v>84</v>
      </c>
      <c r="B88" s="50">
        <v>25</v>
      </c>
      <c r="C88" s="51" t="s">
        <v>970</v>
      </c>
      <c r="D88" s="25" t="s">
        <v>976</v>
      </c>
      <c r="E88" s="25" t="s">
        <v>980</v>
      </c>
      <c r="F88" s="50">
        <v>7</v>
      </c>
      <c r="G88" s="50">
        <f t="shared" si="7"/>
        <v>490</v>
      </c>
      <c r="H88" s="57">
        <v>591</v>
      </c>
      <c r="I88" s="32">
        <v>490</v>
      </c>
      <c r="J88" s="32">
        <v>490.8</v>
      </c>
      <c r="K88" s="32">
        <v>2.5099999999999998</v>
      </c>
      <c r="L88" s="46">
        <f t="shared" si="8"/>
        <v>20.612244897959183</v>
      </c>
      <c r="M88" s="46">
        <f t="shared" si="9"/>
        <v>0</v>
      </c>
      <c r="N88" s="46">
        <f t="shared" si="10"/>
        <v>0.1632653061224513</v>
      </c>
      <c r="O88" s="41" t="s">
        <v>1</v>
      </c>
      <c r="P88" s="50">
        <v>496</v>
      </c>
      <c r="Q88" s="30">
        <v>498</v>
      </c>
      <c r="R88" s="33">
        <v>6.5463108600000002</v>
      </c>
      <c r="S88" s="46">
        <f t="shared" si="11"/>
        <v>1.2244897959183674</v>
      </c>
      <c r="T88" s="46">
        <f t="shared" si="12"/>
        <v>1.6326530612244898</v>
      </c>
      <c r="U88" s="50">
        <f>IF($I88&lt;$P88,1,0)</f>
        <v>1</v>
      </c>
      <c r="V88" s="50">
        <f>IF($I88=$P88,1,0)</f>
        <v>0</v>
      </c>
      <c r="W88" s="50">
        <f>IF($I88&gt;$P88,1,0)</f>
        <v>0</v>
      </c>
    </row>
    <row r="89" spans="1:23" x14ac:dyDescent="0.6">
      <c r="A89" s="41" t="s">
        <v>85</v>
      </c>
      <c r="B89" s="50">
        <v>25</v>
      </c>
      <c r="C89" s="51" t="s">
        <v>970</v>
      </c>
      <c r="D89" s="25" t="s">
        <v>976</v>
      </c>
      <c r="E89" s="25" t="s">
        <v>980</v>
      </c>
      <c r="F89" s="50">
        <v>8</v>
      </c>
      <c r="G89" s="50">
        <f t="shared" si="7"/>
        <v>491</v>
      </c>
      <c r="H89" s="57">
        <v>599</v>
      </c>
      <c r="I89" s="32">
        <v>491</v>
      </c>
      <c r="J89" s="32">
        <v>492</v>
      </c>
      <c r="K89" s="32">
        <v>2.5099999999999998</v>
      </c>
      <c r="L89" s="46">
        <f t="shared" si="8"/>
        <v>21.995926680244398</v>
      </c>
      <c r="M89" s="46">
        <f t="shared" si="9"/>
        <v>0</v>
      </c>
      <c r="N89" s="46">
        <f t="shared" si="10"/>
        <v>0.20366598778004072</v>
      </c>
      <c r="O89" s="41" t="s">
        <v>1</v>
      </c>
      <c r="P89" s="50">
        <v>499</v>
      </c>
      <c r="Q89" s="30">
        <v>500.2</v>
      </c>
      <c r="R89" s="33">
        <v>6.0120689599999997</v>
      </c>
      <c r="S89" s="46">
        <f t="shared" si="11"/>
        <v>1.6293279022403258</v>
      </c>
      <c r="T89" s="46">
        <f t="shared" si="12"/>
        <v>1.8737270875763725</v>
      </c>
      <c r="U89" s="50">
        <f>IF($I89&lt;$P89,1,0)</f>
        <v>1</v>
      </c>
      <c r="V89" s="50">
        <f>IF($I89=$P89,1,0)</f>
        <v>0</v>
      </c>
      <c r="W89" s="50">
        <f>IF($I89&gt;$P89,1,0)</f>
        <v>0</v>
      </c>
    </row>
    <row r="90" spans="1:23" x14ac:dyDescent="0.6">
      <c r="A90" s="41" t="s">
        <v>86</v>
      </c>
      <c r="B90" s="50">
        <v>25</v>
      </c>
      <c r="C90" s="51" t="s">
        <v>970</v>
      </c>
      <c r="D90" s="25" t="s">
        <v>976</v>
      </c>
      <c r="E90" s="25" t="s">
        <v>980</v>
      </c>
      <c r="F90" s="50">
        <v>9</v>
      </c>
      <c r="G90" s="50">
        <f t="shared" si="7"/>
        <v>480</v>
      </c>
      <c r="H90" s="57">
        <v>574</v>
      </c>
      <c r="I90" s="32">
        <v>480</v>
      </c>
      <c r="J90" s="32">
        <v>480.8</v>
      </c>
      <c r="K90" s="32">
        <v>2.5099999999999998</v>
      </c>
      <c r="L90" s="46">
        <f t="shared" si="8"/>
        <v>19.583333333333332</v>
      </c>
      <c r="M90" s="46">
        <f t="shared" si="9"/>
        <v>0</v>
      </c>
      <c r="N90" s="46">
        <f t="shared" si="10"/>
        <v>0.16666666666666904</v>
      </c>
      <c r="O90" s="41" t="s">
        <v>1</v>
      </c>
      <c r="P90" s="50">
        <v>487</v>
      </c>
      <c r="Q90" s="30">
        <v>489.4</v>
      </c>
      <c r="R90" s="33">
        <v>6.6214489800000003</v>
      </c>
      <c r="S90" s="46">
        <f t="shared" si="11"/>
        <v>1.4583333333333333</v>
      </c>
      <c r="T90" s="46">
        <f t="shared" si="12"/>
        <v>1.9583333333333286</v>
      </c>
      <c r="U90" s="50">
        <f>IF($I90&lt;$P90,1,0)</f>
        <v>1</v>
      </c>
      <c r="V90" s="50">
        <f>IF($I90=$P90,1,0)</f>
        <v>0</v>
      </c>
      <c r="W90" s="50">
        <f>IF($I90&gt;$P90,1,0)</f>
        <v>0</v>
      </c>
    </row>
    <row r="91" spans="1:23" x14ac:dyDescent="0.6">
      <c r="A91" s="41" t="s">
        <v>87</v>
      </c>
      <c r="B91" s="50">
        <v>25</v>
      </c>
      <c r="C91" s="51" t="s">
        <v>970</v>
      </c>
      <c r="D91" s="25" t="s">
        <v>976</v>
      </c>
      <c r="E91" s="25" t="s">
        <v>980</v>
      </c>
      <c r="F91" s="50">
        <v>10</v>
      </c>
      <c r="G91" s="50">
        <f t="shared" si="7"/>
        <v>488</v>
      </c>
      <c r="H91" s="57">
        <v>579</v>
      </c>
      <c r="I91" s="32">
        <v>488</v>
      </c>
      <c r="J91" s="32">
        <v>488.8</v>
      </c>
      <c r="K91" s="32">
        <v>2.5099999999999998</v>
      </c>
      <c r="L91" s="46">
        <f t="shared" si="8"/>
        <v>18.647540983606557</v>
      </c>
      <c r="M91" s="46">
        <f t="shared" si="9"/>
        <v>0</v>
      </c>
      <c r="N91" s="46">
        <f t="shared" si="10"/>
        <v>0.16393442622951052</v>
      </c>
      <c r="O91" s="41" t="s">
        <v>1</v>
      </c>
      <c r="P91" s="50">
        <v>492</v>
      </c>
      <c r="Q91" s="30">
        <v>495.6</v>
      </c>
      <c r="R91" s="33">
        <v>5.9520866000000003</v>
      </c>
      <c r="S91" s="46">
        <f t="shared" si="11"/>
        <v>0.81967213114754101</v>
      </c>
      <c r="T91" s="46">
        <f t="shared" si="12"/>
        <v>1.5573770491803325</v>
      </c>
      <c r="U91" s="50">
        <f>IF($I91&lt;$P91,1,0)</f>
        <v>1</v>
      </c>
      <c r="V91" s="50">
        <f>IF($I91=$P91,1,0)</f>
        <v>0</v>
      </c>
      <c r="W91" s="50">
        <f>IF($I91&gt;$P91,1,0)</f>
        <v>0</v>
      </c>
    </row>
    <row r="92" spans="1:23" x14ac:dyDescent="0.6">
      <c r="A92" s="41" t="s">
        <v>88</v>
      </c>
      <c r="B92" s="50">
        <v>25</v>
      </c>
      <c r="C92" s="51" t="s">
        <v>970</v>
      </c>
      <c r="D92" s="25" t="s">
        <v>976</v>
      </c>
      <c r="E92" s="25" t="s">
        <v>984</v>
      </c>
      <c r="F92" s="50">
        <v>1</v>
      </c>
      <c r="G92" s="50">
        <f t="shared" si="7"/>
        <v>483</v>
      </c>
      <c r="H92" s="57">
        <v>749</v>
      </c>
      <c r="I92" s="32">
        <v>483</v>
      </c>
      <c r="J92" s="32">
        <v>483</v>
      </c>
      <c r="K92" s="32">
        <v>2.5099999999999998</v>
      </c>
      <c r="L92" s="46">
        <f t="shared" si="8"/>
        <v>55.072463768115945</v>
      </c>
      <c r="M92" s="46">
        <f t="shared" si="9"/>
        <v>0</v>
      </c>
      <c r="N92" s="46">
        <f t="shared" si="10"/>
        <v>0</v>
      </c>
      <c r="O92" s="41" t="s">
        <v>1</v>
      </c>
      <c r="P92" s="50">
        <v>487</v>
      </c>
      <c r="Q92" s="30">
        <v>488.4</v>
      </c>
      <c r="R92" s="33">
        <v>5.8318982200000002</v>
      </c>
      <c r="S92" s="46">
        <f t="shared" si="11"/>
        <v>0.82815734989648038</v>
      </c>
      <c r="T92" s="46">
        <f t="shared" si="12"/>
        <v>1.1180124223602437</v>
      </c>
      <c r="U92" s="50">
        <f>IF($I92&lt;$P92,1,0)</f>
        <v>1</v>
      </c>
      <c r="V92" s="50">
        <f>IF($I92=$P92,1,0)</f>
        <v>0</v>
      </c>
      <c r="W92" s="50">
        <f>IF($I92&gt;$P92,1,0)</f>
        <v>0</v>
      </c>
    </row>
    <row r="93" spans="1:23" x14ac:dyDescent="0.6">
      <c r="A93" s="41" t="s">
        <v>89</v>
      </c>
      <c r="B93" s="50">
        <v>25</v>
      </c>
      <c r="C93" s="51" t="s">
        <v>970</v>
      </c>
      <c r="D93" s="25" t="s">
        <v>976</v>
      </c>
      <c r="E93" s="25" t="s">
        <v>984</v>
      </c>
      <c r="F93" s="50">
        <v>2</v>
      </c>
      <c r="G93" s="50">
        <f t="shared" si="7"/>
        <v>464</v>
      </c>
      <c r="H93" s="57">
        <v>574</v>
      </c>
      <c r="I93" s="32">
        <v>464</v>
      </c>
      <c r="J93" s="32">
        <v>464.4</v>
      </c>
      <c r="K93" s="32">
        <v>2.5099999999999998</v>
      </c>
      <c r="L93" s="46">
        <f t="shared" si="8"/>
        <v>23.706896551724139</v>
      </c>
      <c r="M93" s="46">
        <f t="shared" si="9"/>
        <v>0</v>
      </c>
      <c r="N93" s="46">
        <f t="shared" si="10"/>
        <v>8.6206896551719231E-2</v>
      </c>
      <c r="O93" s="41" t="s">
        <v>1</v>
      </c>
      <c r="P93" s="50">
        <v>473</v>
      </c>
      <c r="Q93" s="30">
        <v>475.6</v>
      </c>
      <c r="R93" s="33">
        <v>6.0591191999999996</v>
      </c>
      <c r="S93" s="46">
        <f t="shared" si="11"/>
        <v>1.9396551724137931</v>
      </c>
      <c r="T93" s="46">
        <f t="shared" si="12"/>
        <v>2.5000000000000049</v>
      </c>
      <c r="U93" s="50">
        <f>IF($I93&lt;$P93,1,0)</f>
        <v>1</v>
      </c>
      <c r="V93" s="50">
        <f>IF($I93=$P93,1,0)</f>
        <v>0</v>
      </c>
      <c r="W93" s="50">
        <f>IF($I93&gt;$P93,1,0)</f>
        <v>0</v>
      </c>
    </row>
    <row r="94" spans="1:23" x14ac:dyDescent="0.6">
      <c r="A94" s="41" t="s">
        <v>90</v>
      </c>
      <c r="B94" s="50">
        <v>25</v>
      </c>
      <c r="C94" s="51" t="s">
        <v>970</v>
      </c>
      <c r="D94" s="25" t="s">
        <v>976</v>
      </c>
      <c r="E94" s="25" t="s">
        <v>982</v>
      </c>
      <c r="F94" s="50">
        <v>3</v>
      </c>
      <c r="G94" s="50">
        <f t="shared" si="7"/>
        <v>478</v>
      </c>
      <c r="H94" s="57">
        <v>665</v>
      </c>
      <c r="I94" s="32">
        <v>478</v>
      </c>
      <c r="J94" s="32">
        <v>478.2</v>
      </c>
      <c r="K94" s="32">
        <v>2.5099999999999998</v>
      </c>
      <c r="L94" s="46">
        <f t="shared" si="8"/>
        <v>39.121338912133893</v>
      </c>
      <c r="M94" s="46">
        <f t="shared" si="9"/>
        <v>0</v>
      </c>
      <c r="N94" s="46">
        <f t="shared" si="10"/>
        <v>4.1841004184098043E-2</v>
      </c>
      <c r="O94" s="41" t="s">
        <v>1</v>
      </c>
      <c r="P94" s="50">
        <v>482</v>
      </c>
      <c r="Q94" s="30">
        <v>485</v>
      </c>
      <c r="R94" s="33">
        <v>6.0510627799999996</v>
      </c>
      <c r="S94" s="46">
        <f t="shared" si="11"/>
        <v>0.83682008368200833</v>
      </c>
      <c r="T94" s="46">
        <f t="shared" si="12"/>
        <v>1.4644351464435146</v>
      </c>
      <c r="U94" s="50">
        <f>IF($I94&lt;$P94,1,0)</f>
        <v>1</v>
      </c>
      <c r="V94" s="50">
        <f>IF($I94=$P94,1,0)</f>
        <v>0</v>
      </c>
      <c r="W94" s="50">
        <f>IF($I94&gt;$P94,1,0)</f>
        <v>0</v>
      </c>
    </row>
    <row r="95" spans="1:23" x14ac:dyDescent="0.6">
      <c r="A95" s="41" t="s">
        <v>91</v>
      </c>
      <c r="B95" s="50">
        <v>25</v>
      </c>
      <c r="C95" s="51" t="s">
        <v>970</v>
      </c>
      <c r="D95" s="25" t="s">
        <v>976</v>
      </c>
      <c r="E95" s="25" t="s">
        <v>982</v>
      </c>
      <c r="F95" s="50">
        <v>4</v>
      </c>
      <c r="G95" s="50">
        <f t="shared" si="7"/>
        <v>489</v>
      </c>
      <c r="H95" s="57">
        <v>686</v>
      </c>
      <c r="I95" s="32">
        <v>489</v>
      </c>
      <c r="J95" s="32">
        <v>489.8</v>
      </c>
      <c r="K95" s="32">
        <v>2.5099999999999998</v>
      </c>
      <c r="L95" s="46">
        <f t="shared" si="8"/>
        <v>40.286298568507156</v>
      </c>
      <c r="M95" s="46">
        <f t="shared" si="9"/>
        <v>0</v>
      </c>
      <c r="N95" s="46">
        <f t="shared" si="10"/>
        <v>0.16359918200409229</v>
      </c>
      <c r="O95" s="41" t="s">
        <v>1</v>
      </c>
      <c r="P95" s="50">
        <v>495</v>
      </c>
      <c r="Q95" s="30">
        <v>499</v>
      </c>
      <c r="R95" s="33">
        <v>6.4368373800000001</v>
      </c>
      <c r="S95" s="46">
        <f t="shared" si="11"/>
        <v>1.2269938650306749</v>
      </c>
      <c r="T95" s="46">
        <f t="shared" si="12"/>
        <v>2.0449897750511248</v>
      </c>
      <c r="U95" s="50">
        <f>IF($I95&lt;$P95,1,0)</f>
        <v>1</v>
      </c>
      <c r="V95" s="50">
        <f>IF($I95=$P95,1,0)</f>
        <v>0</v>
      </c>
      <c r="W95" s="50">
        <f>IF($I95&gt;$P95,1,0)</f>
        <v>0</v>
      </c>
    </row>
    <row r="96" spans="1:23" s="38" customFormat="1" x14ac:dyDescent="0.6">
      <c r="A96" s="31" t="s">
        <v>404</v>
      </c>
      <c r="B96" s="50">
        <v>25</v>
      </c>
      <c r="C96" s="51" t="s">
        <v>970</v>
      </c>
      <c r="D96" s="25" t="s">
        <v>976</v>
      </c>
      <c r="E96" s="25" t="s">
        <v>982</v>
      </c>
      <c r="F96" s="50">
        <v>5</v>
      </c>
      <c r="G96" s="50">
        <f t="shared" si="7"/>
        <v>468</v>
      </c>
      <c r="H96" s="57">
        <v>679</v>
      </c>
      <c r="I96" s="32">
        <v>468</v>
      </c>
      <c r="J96" s="32">
        <v>468.6</v>
      </c>
      <c r="K96" s="32">
        <v>2.5099999999999998</v>
      </c>
      <c r="L96" s="46">
        <f t="shared" si="8"/>
        <v>45.085470085470085</v>
      </c>
      <c r="M96" s="46">
        <f t="shared" si="9"/>
        <v>0</v>
      </c>
      <c r="N96" s="46">
        <f t="shared" si="10"/>
        <v>0.12820512820513305</v>
      </c>
      <c r="O96" s="31" t="s">
        <v>1</v>
      </c>
      <c r="P96" s="36">
        <v>471</v>
      </c>
      <c r="Q96" s="52">
        <v>475.8</v>
      </c>
      <c r="R96" s="45">
        <v>6.1222259799999996</v>
      </c>
      <c r="S96" s="46">
        <f t="shared" si="11"/>
        <v>0.64102564102564097</v>
      </c>
      <c r="T96" s="46">
        <f t="shared" si="12"/>
        <v>1.6666666666666692</v>
      </c>
      <c r="U96" s="50">
        <f>IF($I96&lt;$P96,1,0)</f>
        <v>1</v>
      </c>
      <c r="V96" s="50">
        <f>IF($I96=$P96,1,0)</f>
        <v>0</v>
      </c>
      <c r="W96" s="50">
        <f>IF($I96&gt;$P96,1,0)</f>
        <v>0</v>
      </c>
    </row>
    <row r="97" spans="1:23" x14ac:dyDescent="0.6">
      <c r="A97" s="41" t="s">
        <v>92</v>
      </c>
      <c r="B97" s="50">
        <v>25</v>
      </c>
      <c r="C97" s="51" t="s">
        <v>970</v>
      </c>
      <c r="D97" s="25" t="s">
        <v>976</v>
      </c>
      <c r="E97" s="25" t="s">
        <v>982</v>
      </c>
      <c r="F97" s="50">
        <v>6</v>
      </c>
      <c r="G97" s="50">
        <f t="shared" si="7"/>
        <v>503</v>
      </c>
      <c r="H97" s="57">
        <v>660</v>
      </c>
      <c r="I97" s="32">
        <v>503</v>
      </c>
      <c r="J97" s="32">
        <v>503.8</v>
      </c>
      <c r="K97" s="32">
        <v>2.5</v>
      </c>
      <c r="L97" s="46">
        <f t="shared" si="8"/>
        <v>31.21272365805169</v>
      </c>
      <c r="M97" s="46">
        <f t="shared" si="9"/>
        <v>0</v>
      </c>
      <c r="N97" s="46">
        <f t="shared" si="10"/>
        <v>0.15904572564612551</v>
      </c>
      <c r="O97" s="41" t="s">
        <v>1</v>
      </c>
      <c r="P97" s="50">
        <v>507</v>
      </c>
      <c r="Q97" s="30">
        <v>508.8</v>
      </c>
      <c r="R97" s="33">
        <v>5.9061299199999997</v>
      </c>
      <c r="S97" s="46">
        <f t="shared" si="11"/>
        <v>0.79522862823061624</v>
      </c>
      <c r="T97" s="46">
        <f t="shared" si="12"/>
        <v>1.1530815109343959</v>
      </c>
      <c r="U97" s="50">
        <f>IF($I97&lt;$P97,1,0)</f>
        <v>1</v>
      </c>
      <c r="V97" s="50">
        <f>IF($I97=$P97,1,0)</f>
        <v>0</v>
      </c>
      <c r="W97" s="50">
        <f>IF($I97&gt;$P97,1,0)</f>
        <v>0</v>
      </c>
    </row>
    <row r="98" spans="1:23" x14ac:dyDescent="0.6">
      <c r="A98" s="41" t="s">
        <v>93</v>
      </c>
      <c r="B98" s="50">
        <v>25</v>
      </c>
      <c r="C98" s="51" t="s">
        <v>970</v>
      </c>
      <c r="D98" s="25" t="s">
        <v>976</v>
      </c>
      <c r="E98" s="25" t="s">
        <v>982</v>
      </c>
      <c r="F98" s="50">
        <v>7</v>
      </c>
      <c r="G98" s="50">
        <f t="shared" si="7"/>
        <v>491</v>
      </c>
      <c r="H98" s="57">
        <v>671</v>
      </c>
      <c r="I98" s="32">
        <v>491</v>
      </c>
      <c r="J98" s="32">
        <v>491</v>
      </c>
      <c r="K98" s="32">
        <v>2.5</v>
      </c>
      <c r="L98" s="46">
        <f t="shared" si="8"/>
        <v>36.65987780040733</v>
      </c>
      <c r="M98" s="46">
        <f t="shared" si="9"/>
        <v>0</v>
      </c>
      <c r="N98" s="46">
        <f t="shared" si="10"/>
        <v>0</v>
      </c>
      <c r="O98" s="41" t="s">
        <v>1</v>
      </c>
      <c r="P98" s="50">
        <v>494</v>
      </c>
      <c r="Q98" s="30">
        <v>495.4</v>
      </c>
      <c r="R98" s="33">
        <v>6.5800007599999999</v>
      </c>
      <c r="S98" s="46">
        <f t="shared" si="11"/>
        <v>0.61099796334012213</v>
      </c>
      <c r="T98" s="46">
        <f t="shared" si="12"/>
        <v>0.89613034623217458</v>
      </c>
      <c r="U98" s="50">
        <f>IF($I98&lt;$P98,1,0)</f>
        <v>1</v>
      </c>
      <c r="V98" s="50">
        <f>IF($I98=$P98,1,0)</f>
        <v>0</v>
      </c>
      <c r="W98" s="50">
        <f>IF($I98&gt;$P98,1,0)</f>
        <v>0</v>
      </c>
    </row>
    <row r="99" spans="1:23" x14ac:dyDescent="0.6">
      <c r="A99" s="41" t="s">
        <v>94</v>
      </c>
      <c r="B99" s="50">
        <v>25</v>
      </c>
      <c r="C99" s="51" t="s">
        <v>970</v>
      </c>
      <c r="D99" s="25" t="s">
        <v>976</v>
      </c>
      <c r="E99" s="25" t="s">
        <v>982</v>
      </c>
      <c r="F99" s="50">
        <v>8</v>
      </c>
      <c r="G99" s="50">
        <f t="shared" si="7"/>
        <v>491</v>
      </c>
      <c r="H99" s="57">
        <v>679</v>
      </c>
      <c r="I99" s="32">
        <v>491</v>
      </c>
      <c r="J99" s="32">
        <v>491.4</v>
      </c>
      <c r="K99" s="32">
        <v>2.5099999999999998</v>
      </c>
      <c r="L99" s="46">
        <f t="shared" si="8"/>
        <v>38.289205702647656</v>
      </c>
      <c r="M99" s="46">
        <f t="shared" si="9"/>
        <v>0</v>
      </c>
      <c r="N99" s="46">
        <f t="shared" si="10"/>
        <v>8.1466395112011661E-2</v>
      </c>
      <c r="O99" s="41" t="s">
        <v>1</v>
      </c>
      <c r="P99" s="50">
        <v>495</v>
      </c>
      <c r="Q99" s="30">
        <v>498.4</v>
      </c>
      <c r="R99" s="33">
        <v>6.2414240799999998</v>
      </c>
      <c r="S99" s="46">
        <f t="shared" si="11"/>
        <v>0.81466395112016288</v>
      </c>
      <c r="T99" s="46">
        <f t="shared" si="12"/>
        <v>1.5071283095722967</v>
      </c>
      <c r="U99" s="50">
        <f>IF($I99&lt;$P99,1,0)</f>
        <v>1</v>
      </c>
      <c r="V99" s="50">
        <f>IF($I99=$P99,1,0)</f>
        <v>0</v>
      </c>
      <c r="W99" s="50">
        <f>IF($I99&gt;$P99,1,0)</f>
        <v>0</v>
      </c>
    </row>
    <row r="100" spans="1:23" x14ac:dyDescent="0.6">
      <c r="A100" s="41" t="s">
        <v>95</v>
      </c>
      <c r="B100" s="50">
        <v>25</v>
      </c>
      <c r="C100" s="51" t="s">
        <v>970</v>
      </c>
      <c r="D100" s="25" t="s">
        <v>976</v>
      </c>
      <c r="E100" s="25" t="s">
        <v>982</v>
      </c>
      <c r="F100" s="50">
        <v>9</v>
      </c>
      <c r="G100" s="50">
        <f t="shared" si="7"/>
        <v>480</v>
      </c>
      <c r="H100" s="57">
        <v>654</v>
      </c>
      <c r="I100" s="32">
        <v>480</v>
      </c>
      <c r="J100" s="32">
        <v>481.4</v>
      </c>
      <c r="K100" s="32">
        <v>2.5</v>
      </c>
      <c r="L100" s="46">
        <f t="shared" si="8"/>
        <v>36.25</v>
      </c>
      <c r="M100" s="46">
        <f t="shared" si="9"/>
        <v>0</v>
      </c>
      <c r="N100" s="46">
        <f t="shared" si="10"/>
        <v>0.29166666666666191</v>
      </c>
      <c r="O100" s="41" t="s">
        <v>1</v>
      </c>
      <c r="P100" s="50">
        <v>486</v>
      </c>
      <c r="Q100" s="30">
        <v>488.8</v>
      </c>
      <c r="R100" s="33">
        <v>6.73816448</v>
      </c>
      <c r="S100" s="46">
        <f t="shared" si="11"/>
        <v>1.25</v>
      </c>
      <c r="T100" s="46">
        <f t="shared" si="12"/>
        <v>1.8333333333333357</v>
      </c>
      <c r="U100" s="50">
        <f>IF($I100&lt;$P100,1,0)</f>
        <v>1</v>
      </c>
      <c r="V100" s="50">
        <f>IF($I100=$P100,1,0)</f>
        <v>0</v>
      </c>
      <c r="W100" s="50">
        <f>IF($I100&gt;$P100,1,0)</f>
        <v>0</v>
      </c>
    </row>
    <row r="101" spans="1:23" x14ac:dyDescent="0.6">
      <c r="A101" s="41" t="s">
        <v>96</v>
      </c>
      <c r="B101" s="50">
        <v>25</v>
      </c>
      <c r="C101" s="51" t="s">
        <v>970</v>
      </c>
      <c r="D101" s="25" t="s">
        <v>976</v>
      </c>
      <c r="E101" s="25" t="s">
        <v>982</v>
      </c>
      <c r="F101" s="50">
        <v>10</v>
      </c>
      <c r="G101" s="50">
        <f t="shared" si="7"/>
        <v>489</v>
      </c>
      <c r="H101" s="57">
        <v>659</v>
      </c>
      <c r="I101" s="32">
        <v>489</v>
      </c>
      <c r="J101" s="32">
        <v>489.2</v>
      </c>
      <c r="K101" s="32">
        <v>2.5</v>
      </c>
      <c r="L101" s="46">
        <f t="shared" si="8"/>
        <v>34.764826175869118</v>
      </c>
      <c r="M101" s="46">
        <f t="shared" si="9"/>
        <v>0</v>
      </c>
      <c r="N101" s="46">
        <f t="shared" si="10"/>
        <v>4.0899795501020172E-2</v>
      </c>
      <c r="O101" s="41" t="s">
        <v>1</v>
      </c>
      <c r="P101" s="50">
        <v>493</v>
      </c>
      <c r="Q101" s="30">
        <v>495.2</v>
      </c>
      <c r="R101" s="33">
        <v>5.8787349799999999</v>
      </c>
      <c r="S101" s="46">
        <f t="shared" si="11"/>
        <v>0.81799591002045002</v>
      </c>
      <c r="T101" s="46">
        <f t="shared" si="12"/>
        <v>1.2678936605316948</v>
      </c>
      <c r="U101" s="50">
        <f>IF($I101&lt;$P101,1,0)</f>
        <v>1</v>
      </c>
      <c r="V101" s="50">
        <f>IF($I101=$P101,1,0)</f>
        <v>0</v>
      </c>
      <c r="W101" s="50">
        <f>IF($I101&gt;$P101,1,0)</f>
        <v>0</v>
      </c>
    </row>
    <row r="102" spans="1:23" x14ac:dyDescent="0.6">
      <c r="A102" s="41" t="s">
        <v>97</v>
      </c>
      <c r="B102" s="50">
        <v>25</v>
      </c>
      <c r="C102" s="51" t="s">
        <v>970</v>
      </c>
      <c r="D102" s="25" t="s">
        <v>979</v>
      </c>
      <c r="E102" s="25" t="s">
        <v>981</v>
      </c>
      <c r="F102" s="50">
        <v>1</v>
      </c>
      <c r="G102" s="50">
        <f t="shared" si="7"/>
        <v>602</v>
      </c>
      <c r="H102" s="57">
        <v>720</v>
      </c>
      <c r="I102" s="32">
        <v>602</v>
      </c>
      <c r="J102" s="32">
        <v>602.79999999999995</v>
      </c>
      <c r="K102" s="32">
        <v>2.5099999999999998</v>
      </c>
      <c r="L102" s="46">
        <f t="shared" si="8"/>
        <v>19.601328903654487</v>
      </c>
      <c r="M102" s="46">
        <f t="shared" si="9"/>
        <v>0</v>
      </c>
      <c r="N102" s="46">
        <f t="shared" si="10"/>
        <v>0.13289036544849742</v>
      </c>
      <c r="O102" s="41" t="s">
        <v>1</v>
      </c>
      <c r="P102" s="50">
        <v>608</v>
      </c>
      <c r="Q102" s="30">
        <v>608.79999999999995</v>
      </c>
      <c r="R102" s="33">
        <v>5.67836652</v>
      </c>
      <c r="S102" s="46">
        <f t="shared" si="11"/>
        <v>0.99667774086378735</v>
      </c>
      <c r="T102" s="46">
        <f t="shared" si="12"/>
        <v>1.1295681063122847</v>
      </c>
      <c r="U102" s="50">
        <f>IF($I102&lt;$P102,1,0)</f>
        <v>1</v>
      </c>
      <c r="V102" s="50">
        <f>IF($I102=$P102,1,0)</f>
        <v>0</v>
      </c>
      <c r="W102" s="50">
        <f>IF($I102&gt;$P102,1,0)</f>
        <v>0</v>
      </c>
    </row>
    <row r="103" spans="1:23" x14ac:dyDescent="0.6">
      <c r="A103" s="41" t="s">
        <v>98</v>
      </c>
      <c r="B103" s="50">
        <v>25</v>
      </c>
      <c r="C103" s="51" t="s">
        <v>970</v>
      </c>
      <c r="D103" s="25" t="s">
        <v>979</v>
      </c>
      <c r="E103" s="25" t="s">
        <v>983</v>
      </c>
      <c r="F103" s="50">
        <v>2</v>
      </c>
      <c r="G103" s="50">
        <f t="shared" si="7"/>
        <v>584</v>
      </c>
      <c r="H103" s="57">
        <v>631</v>
      </c>
      <c r="I103" s="32">
        <v>584</v>
      </c>
      <c r="J103" s="32">
        <v>584.79999999999995</v>
      </c>
      <c r="K103" s="32">
        <v>2.5099999999999998</v>
      </c>
      <c r="L103" s="46">
        <f t="shared" si="8"/>
        <v>8.0479452054794525</v>
      </c>
      <c r="M103" s="46">
        <f t="shared" si="9"/>
        <v>0</v>
      </c>
      <c r="N103" s="46">
        <f t="shared" si="10"/>
        <v>0.13698630136985523</v>
      </c>
      <c r="O103" s="41" t="s">
        <v>1</v>
      </c>
      <c r="P103" s="50">
        <v>590</v>
      </c>
      <c r="Q103" s="30">
        <v>592.4</v>
      </c>
      <c r="R103" s="33">
        <v>5.8744681600000002</v>
      </c>
      <c r="S103" s="46">
        <f t="shared" si="11"/>
        <v>1.0273972602739725</v>
      </c>
      <c r="T103" s="46">
        <f t="shared" si="12"/>
        <v>1.4383561643835578</v>
      </c>
      <c r="U103" s="50">
        <f>IF($I103&lt;$P103,1,0)</f>
        <v>1</v>
      </c>
      <c r="V103" s="50">
        <f>IF($I103=$P103,1,0)</f>
        <v>0</v>
      </c>
      <c r="W103" s="50">
        <f>IF($I103&gt;$P103,1,0)</f>
        <v>0</v>
      </c>
    </row>
    <row r="104" spans="1:23" x14ac:dyDescent="0.6">
      <c r="A104" s="41" t="s">
        <v>99</v>
      </c>
      <c r="B104" s="50">
        <v>25</v>
      </c>
      <c r="C104" s="51" t="s">
        <v>970</v>
      </c>
      <c r="D104" s="25" t="s">
        <v>978</v>
      </c>
      <c r="E104" s="25" t="s">
        <v>980</v>
      </c>
      <c r="F104" s="50">
        <v>3</v>
      </c>
      <c r="G104" s="50">
        <f t="shared" si="7"/>
        <v>598</v>
      </c>
      <c r="H104" s="57">
        <v>683</v>
      </c>
      <c r="I104" s="32">
        <v>598</v>
      </c>
      <c r="J104" s="32">
        <v>598.20000000000005</v>
      </c>
      <c r="K104" s="32">
        <v>2.5099999999999998</v>
      </c>
      <c r="L104" s="46">
        <f t="shared" si="8"/>
        <v>14.214046822742473</v>
      </c>
      <c r="M104" s="46">
        <f t="shared" si="9"/>
        <v>0</v>
      </c>
      <c r="N104" s="46">
        <f t="shared" si="10"/>
        <v>3.3444816053519309E-2</v>
      </c>
      <c r="O104" s="41" t="s">
        <v>1</v>
      </c>
      <c r="P104" s="50">
        <v>602</v>
      </c>
      <c r="Q104" s="30">
        <v>604.20000000000005</v>
      </c>
      <c r="R104" s="33">
        <v>5.8415357200000004</v>
      </c>
      <c r="S104" s="46">
        <f t="shared" si="11"/>
        <v>0.66889632107023411</v>
      </c>
      <c r="T104" s="46">
        <f t="shared" si="12"/>
        <v>1.0367892976588704</v>
      </c>
      <c r="U104" s="50">
        <f>IF($I104&lt;$P104,1,0)</f>
        <v>1</v>
      </c>
      <c r="V104" s="50">
        <f>IF($I104=$P104,1,0)</f>
        <v>0</v>
      </c>
      <c r="W104" s="50">
        <f>IF($I104&gt;$P104,1,0)</f>
        <v>0</v>
      </c>
    </row>
    <row r="105" spans="1:23" x14ac:dyDescent="0.6">
      <c r="A105" s="41" t="s">
        <v>100</v>
      </c>
      <c r="B105" s="50">
        <v>25</v>
      </c>
      <c r="C105" s="51" t="s">
        <v>970</v>
      </c>
      <c r="D105" s="25" t="s">
        <v>978</v>
      </c>
      <c r="E105" s="25" t="s">
        <v>980</v>
      </c>
      <c r="F105" s="50">
        <v>4</v>
      </c>
      <c r="G105" s="50">
        <f t="shared" si="7"/>
        <v>609</v>
      </c>
      <c r="H105" s="57">
        <v>706</v>
      </c>
      <c r="I105" s="32">
        <v>609</v>
      </c>
      <c r="J105" s="32">
        <v>609</v>
      </c>
      <c r="K105" s="32">
        <v>2.5099999999999998</v>
      </c>
      <c r="L105" s="46">
        <f t="shared" si="8"/>
        <v>15.927750410509031</v>
      </c>
      <c r="M105" s="46">
        <f t="shared" si="9"/>
        <v>0</v>
      </c>
      <c r="N105" s="46">
        <f t="shared" si="10"/>
        <v>0</v>
      </c>
      <c r="O105" s="41" t="s">
        <v>1</v>
      </c>
      <c r="P105" s="50">
        <v>614</v>
      </c>
      <c r="Q105" s="30">
        <v>616</v>
      </c>
      <c r="R105" s="33">
        <v>6.0179100800000001</v>
      </c>
      <c r="S105" s="46">
        <f t="shared" si="11"/>
        <v>0.82101806239737274</v>
      </c>
      <c r="T105" s="46">
        <f t="shared" si="12"/>
        <v>1.1494252873563218</v>
      </c>
      <c r="U105" s="50">
        <f>IF($I105&lt;$P105,1,0)</f>
        <v>1</v>
      </c>
      <c r="V105" s="50">
        <f>IF($I105=$P105,1,0)</f>
        <v>0</v>
      </c>
      <c r="W105" s="50">
        <f>IF($I105&gt;$P105,1,0)</f>
        <v>0</v>
      </c>
    </row>
    <row r="106" spans="1:23" x14ac:dyDescent="0.6">
      <c r="A106" s="41" t="s">
        <v>101</v>
      </c>
      <c r="B106" s="50">
        <v>25</v>
      </c>
      <c r="C106" s="51" t="s">
        <v>970</v>
      </c>
      <c r="D106" s="25" t="s">
        <v>978</v>
      </c>
      <c r="E106" s="25" t="s">
        <v>980</v>
      </c>
      <c r="F106" s="50">
        <v>5</v>
      </c>
      <c r="G106" s="50">
        <f t="shared" si="7"/>
        <v>588</v>
      </c>
      <c r="H106" s="57">
        <v>699</v>
      </c>
      <c r="I106" s="32">
        <v>588</v>
      </c>
      <c r="J106" s="32">
        <v>588.20000000000005</v>
      </c>
      <c r="K106" s="32">
        <v>2.5099999999999998</v>
      </c>
      <c r="L106" s="46">
        <f t="shared" si="8"/>
        <v>18.877551020408163</v>
      </c>
      <c r="M106" s="46">
        <f t="shared" si="9"/>
        <v>0</v>
      </c>
      <c r="N106" s="46">
        <f t="shared" si="10"/>
        <v>3.4013605442184604E-2</v>
      </c>
      <c r="O106" s="41" t="s">
        <v>1</v>
      </c>
      <c r="P106" s="50">
        <v>591</v>
      </c>
      <c r="Q106" s="30">
        <v>597.20000000000005</v>
      </c>
      <c r="R106" s="33">
        <v>5.9284482399999998</v>
      </c>
      <c r="S106" s="46">
        <f t="shared" si="11"/>
        <v>0.51020408163265307</v>
      </c>
      <c r="T106" s="46">
        <f t="shared" si="12"/>
        <v>1.5646258503401438</v>
      </c>
      <c r="U106" s="50">
        <f>IF($I106&lt;$P106,1,0)</f>
        <v>1</v>
      </c>
      <c r="V106" s="50">
        <f>IF($I106=$P106,1,0)</f>
        <v>0</v>
      </c>
      <c r="W106" s="50">
        <f>IF($I106&gt;$P106,1,0)</f>
        <v>0</v>
      </c>
    </row>
    <row r="107" spans="1:23" x14ac:dyDescent="0.6">
      <c r="A107" s="41" t="s">
        <v>102</v>
      </c>
      <c r="B107" s="50">
        <v>25</v>
      </c>
      <c r="C107" s="51" t="s">
        <v>970</v>
      </c>
      <c r="D107" s="25" t="s">
        <v>978</v>
      </c>
      <c r="E107" s="25" t="s">
        <v>980</v>
      </c>
      <c r="F107" s="50">
        <v>6</v>
      </c>
      <c r="G107" s="50">
        <f t="shared" si="7"/>
        <v>623</v>
      </c>
      <c r="H107" s="57">
        <v>692</v>
      </c>
      <c r="I107" s="32">
        <v>623</v>
      </c>
      <c r="J107" s="32">
        <v>623.6</v>
      </c>
      <c r="K107" s="32">
        <v>2.5099999999999998</v>
      </c>
      <c r="L107" s="46">
        <f t="shared" si="8"/>
        <v>11.075441412520064</v>
      </c>
      <c r="M107" s="46">
        <f t="shared" si="9"/>
        <v>0</v>
      </c>
      <c r="N107" s="46">
        <f t="shared" si="10"/>
        <v>9.63081861958303E-2</v>
      </c>
      <c r="O107" s="41" t="s">
        <v>1</v>
      </c>
      <c r="P107" s="50">
        <v>627</v>
      </c>
      <c r="Q107" s="30">
        <v>629.6</v>
      </c>
      <c r="R107" s="33">
        <v>5.9604304600000004</v>
      </c>
      <c r="S107" s="46">
        <f t="shared" si="11"/>
        <v>0.6420545746388443</v>
      </c>
      <c r="T107" s="46">
        <f t="shared" si="12"/>
        <v>1.0593900481540968</v>
      </c>
      <c r="U107" s="50">
        <f>IF($I107&lt;$P107,1,0)</f>
        <v>1</v>
      </c>
      <c r="V107" s="50">
        <f>IF($I107=$P107,1,0)</f>
        <v>0</v>
      </c>
      <c r="W107" s="50">
        <f>IF($I107&gt;$P107,1,0)</f>
        <v>0</v>
      </c>
    </row>
    <row r="108" spans="1:23" x14ac:dyDescent="0.6">
      <c r="A108" s="41" t="s">
        <v>103</v>
      </c>
      <c r="B108" s="50">
        <v>25</v>
      </c>
      <c r="C108" s="51" t="s">
        <v>970</v>
      </c>
      <c r="D108" s="25" t="s">
        <v>978</v>
      </c>
      <c r="E108" s="25" t="s">
        <v>980</v>
      </c>
      <c r="F108" s="50">
        <v>7</v>
      </c>
      <c r="G108" s="50">
        <f t="shared" si="7"/>
        <v>610</v>
      </c>
      <c r="H108" s="57">
        <v>691</v>
      </c>
      <c r="I108" s="32">
        <v>610</v>
      </c>
      <c r="J108" s="32">
        <v>610.6</v>
      </c>
      <c r="K108" s="32">
        <v>2.5</v>
      </c>
      <c r="L108" s="46">
        <f t="shared" si="8"/>
        <v>13.278688524590162</v>
      </c>
      <c r="M108" s="46">
        <f t="shared" si="9"/>
        <v>0</v>
      </c>
      <c r="N108" s="46">
        <f t="shared" si="10"/>
        <v>9.8360655737708649E-2</v>
      </c>
      <c r="O108" s="41" t="s">
        <v>1</v>
      </c>
      <c r="P108" s="50">
        <v>615</v>
      </c>
      <c r="Q108" s="30">
        <v>618.79999999999995</v>
      </c>
      <c r="R108" s="33">
        <v>6.54095168</v>
      </c>
      <c r="S108" s="46">
        <f t="shared" si="11"/>
        <v>0.81967213114754101</v>
      </c>
      <c r="T108" s="46">
        <f t="shared" si="12"/>
        <v>1.4426229508196646</v>
      </c>
      <c r="U108" s="50">
        <f>IF($I108&lt;$P108,1,0)</f>
        <v>1</v>
      </c>
      <c r="V108" s="50">
        <f>IF($I108=$P108,1,0)</f>
        <v>0</v>
      </c>
      <c r="W108" s="50">
        <f>IF($I108&gt;$P108,1,0)</f>
        <v>0</v>
      </c>
    </row>
    <row r="109" spans="1:23" x14ac:dyDescent="0.6">
      <c r="A109" s="41" t="s">
        <v>104</v>
      </c>
      <c r="B109" s="50">
        <v>25</v>
      </c>
      <c r="C109" s="51" t="s">
        <v>970</v>
      </c>
      <c r="D109" s="25" t="s">
        <v>978</v>
      </c>
      <c r="E109" s="25" t="s">
        <v>980</v>
      </c>
      <c r="F109" s="50">
        <v>8</v>
      </c>
      <c r="G109" s="50">
        <f t="shared" si="7"/>
        <v>611</v>
      </c>
      <c r="H109" s="57">
        <v>699</v>
      </c>
      <c r="I109" s="32">
        <v>611</v>
      </c>
      <c r="J109" s="32">
        <v>611.6</v>
      </c>
      <c r="K109" s="32">
        <v>2.5</v>
      </c>
      <c r="L109" s="46">
        <f t="shared" si="8"/>
        <v>14.402618657937808</v>
      </c>
      <c r="M109" s="46">
        <f t="shared" si="9"/>
        <v>0</v>
      </c>
      <c r="N109" s="46">
        <f t="shared" si="10"/>
        <v>9.8199672667761501E-2</v>
      </c>
      <c r="O109" s="41" t="s">
        <v>1</v>
      </c>
      <c r="P109" s="50">
        <v>617</v>
      </c>
      <c r="Q109" s="30">
        <v>618.4</v>
      </c>
      <c r="R109" s="33">
        <v>6.0475600399999996</v>
      </c>
      <c r="S109" s="46">
        <f t="shared" si="11"/>
        <v>0.98199672667757776</v>
      </c>
      <c r="T109" s="46">
        <f t="shared" si="12"/>
        <v>1.2111292962356754</v>
      </c>
      <c r="U109" s="50">
        <f>IF($I109&lt;$P109,1,0)</f>
        <v>1</v>
      </c>
      <c r="V109" s="50">
        <f>IF($I109=$P109,1,0)</f>
        <v>0</v>
      </c>
      <c r="W109" s="50">
        <f>IF($I109&gt;$P109,1,0)</f>
        <v>0</v>
      </c>
    </row>
    <row r="110" spans="1:23" x14ac:dyDescent="0.6">
      <c r="A110" s="41" t="s">
        <v>105</v>
      </c>
      <c r="B110" s="50">
        <v>25</v>
      </c>
      <c r="C110" s="51" t="s">
        <v>970</v>
      </c>
      <c r="D110" s="25" t="s">
        <v>978</v>
      </c>
      <c r="E110" s="25" t="s">
        <v>980</v>
      </c>
      <c r="F110" s="50">
        <v>9</v>
      </c>
      <c r="G110" s="50">
        <f t="shared" si="7"/>
        <v>601</v>
      </c>
      <c r="H110" s="57">
        <v>669</v>
      </c>
      <c r="I110" s="32">
        <v>601</v>
      </c>
      <c r="J110" s="32">
        <v>601</v>
      </c>
      <c r="K110" s="32">
        <v>2.5</v>
      </c>
      <c r="L110" s="46">
        <f t="shared" si="8"/>
        <v>11.314475873544092</v>
      </c>
      <c r="M110" s="46">
        <f t="shared" si="9"/>
        <v>0</v>
      </c>
      <c r="N110" s="46">
        <f t="shared" si="10"/>
        <v>0</v>
      </c>
      <c r="O110" s="41" t="s">
        <v>1</v>
      </c>
      <c r="P110" s="50">
        <v>604</v>
      </c>
      <c r="Q110" s="30">
        <v>606.6</v>
      </c>
      <c r="R110" s="33">
        <v>6.5139592000000004</v>
      </c>
      <c r="S110" s="46">
        <f t="shared" si="11"/>
        <v>0.49916805324459235</v>
      </c>
      <c r="T110" s="46">
        <f t="shared" si="12"/>
        <v>0.9317803660565761</v>
      </c>
      <c r="U110" s="50">
        <f>IF($I110&lt;$P110,1,0)</f>
        <v>1</v>
      </c>
      <c r="V110" s="50">
        <f>IF($I110=$P110,1,0)</f>
        <v>0</v>
      </c>
      <c r="W110" s="50">
        <f>IF($I110&gt;$P110,1,0)</f>
        <v>0</v>
      </c>
    </row>
    <row r="111" spans="1:23" s="38" customFormat="1" x14ac:dyDescent="0.6">
      <c r="A111" s="31" t="s">
        <v>106</v>
      </c>
      <c r="B111" s="50">
        <v>25</v>
      </c>
      <c r="C111" s="51" t="s">
        <v>970</v>
      </c>
      <c r="D111" s="25" t="s">
        <v>978</v>
      </c>
      <c r="E111" s="25" t="s">
        <v>980</v>
      </c>
      <c r="F111" s="50">
        <v>10</v>
      </c>
      <c r="G111" s="50">
        <f t="shared" si="7"/>
        <v>609</v>
      </c>
      <c r="H111" s="57">
        <v>684</v>
      </c>
      <c r="I111" s="32">
        <v>609</v>
      </c>
      <c r="J111" s="32">
        <v>609</v>
      </c>
      <c r="K111" s="32">
        <v>2.5099999999999998</v>
      </c>
      <c r="L111" s="46">
        <f t="shared" si="8"/>
        <v>12.315270935960591</v>
      </c>
      <c r="M111" s="46">
        <f t="shared" si="9"/>
        <v>0</v>
      </c>
      <c r="N111" s="46">
        <f t="shared" si="10"/>
        <v>0</v>
      </c>
      <c r="O111" s="31" t="s">
        <v>1</v>
      </c>
      <c r="P111" s="36">
        <v>611</v>
      </c>
      <c r="Q111" s="52">
        <v>615.4</v>
      </c>
      <c r="R111" s="45">
        <v>5.8680327200000004</v>
      </c>
      <c r="S111" s="46">
        <f t="shared" si="11"/>
        <v>0.32840722495894908</v>
      </c>
      <c r="T111" s="46">
        <f t="shared" si="12"/>
        <v>1.0509031198686334</v>
      </c>
      <c r="U111" s="50">
        <f>IF($I111&lt;$P111,1,0)</f>
        <v>1</v>
      </c>
      <c r="V111" s="50">
        <f>IF($I111=$P111,1,0)</f>
        <v>0</v>
      </c>
      <c r="W111" s="50">
        <f>IF($I111&gt;$P111,1,0)</f>
        <v>0</v>
      </c>
    </row>
    <row r="112" spans="1:23" x14ac:dyDescent="0.6">
      <c r="A112" s="41" t="s">
        <v>107</v>
      </c>
      <c r="B112" s="50">
        <v>25</v>
      </c>
      <c r="C112" s="51" t="s">
        <v>970</v>
      </c>
      <c r="D112" s="25" t="s">
        <v>978</v>
      </c>
      <c r="E112" s="25" t="s">
        <v>984</v>
      </c>
      <c r="F112" s="50">
        <v>1</v>
      </c>
      <c r="G112" s="50">
        <f t="shared" si="7"/>
        <v>602</v>
      </c>
      <c r="H112" s="57">
        <v>834</v>
      </c>
      <c r="I112" s="32">
        <v>602</v>
      </c>
      <c r="J112" s="32">
        <v>602.4</v>
      </c>
      <c r="K112" s="32">
        <v>2.5099999999999998</v>
      </c>
      <c r="L112" s="46">
        <f t="shared" si="8"/>
        <v>38.538205980066451</v>
      </c>
      <c r="M112" s="46">
        <f t="shared" si="9"/>
        <v>0</v>
      </c>
      <c r="N112" s="46">
        <f t="shared" si="10"/>
        <v>6.6445182724248708E-2</v>
      </c>
      <c r="O112" s="41" t="s">
        <v>1</v>
      </c>
      <c r="P112" s="50">
        <v>606</v>
      </c>
      <c r="Q112" s="30">
        <v>608.79999999999995</v>
      </c>
      <c r="R112" s="33">
        <v>5.6274220000000001</v>
      </c>
      <c r="S112" s="46">
        <f t="shared" si="11"/>
        <v>0.66445182724252494</v>
      </c>
      <c r="T112" s="46">
        <f t="shared" si="12"/>
        <v>1.1295681063122847</v>
      </c>
      <c r="U112" s="50">
        <f>IF($I112&lt;$P112,1,0)</f>
        <v>1</v>
      </c>
      <c r="V112" s="50">
        <f>IF($I112=$P112,1,0)</f>
        <v>0</v>
      </c>
      <c r="W112" s="50">
        <f>IF($I112&gt;$P112,1,0)</f>
        <v>0</v>
      </c>
    </row>
    <row r="113" spans="1:23" x14ac:dyDescent="0.6">
      <c r="A113" s="41" t="s">
        <v>108</v>
      </c>
      <c r="B113" s="50">
        <v>25</v>
      </c>
      <c r="C113" s="51" t="s">
        <v>970</v>
      </c>
      <c r="D113" s="25" t="s">
        <v>978</v>
      </c>
      <c r="E113" s="25" t="s">
        <v>984</v>
      </c>
      <c r="F113" s="50">
        <v>2</v>
      </c>
      <c r="G113" s="50">
        <f t="shared" si="7"/>
        <v>585</v>
      </c>
      <c r="H113" s="57">
        <v>669</v>
      </c>
      <c r="I113" s="32">
        <v>585</v>
      </c>
      <c r="J113" s="32">
        <v>585</v>
      </c>
      <c r="K113" s="32">
        <v>2.5099999999999998</v>
      </c>
      <c r="L113" s="46">
        <f t="shared" si="8"/>
        <v>14.358974358974358</v>
      </c>
      <c r="M113" s="46">
        <f t="shared" si="9"/>
        <v>0</v>
      </c>
      <c r="N113" s="46">
        <f t="shared" si="10"/>
        <v>0</v>
      </c>
      <c r="O113" s="41" t="s">
        <v>1</v>
      </c>
      <c r="P113" s="50">
        <v>591</v>
      </c>
      <c r="Q113" s="30">
        <v>593.79999999999995</v>
      </c>
      <c r="R113" s="33">
        <v>5.9938550199999998</v>
      </c>
      <c r="S113" s="46">
        <f t="shared" si="11"/>
        <v>1.0256410256410255</v>
      </c>
      <c r="T113" s="46">
        <f t="shared" si="12"/>
        <v>1.5042735042734965</v>
      </c>
      <c r="U113" s="50">
        <f>IF($I113&lt;$P113,1,0)</f>
        <v>1</v>
      </c>
      <c r="V113" s="50">
        <f>IF($I113=$P113,1,0)</f>
        <v>0</v>
      </c>
      <c r="W113" s="50">
        <f>IF($I113&gt;$P113,1,0)</f>
        <v>0</v>
      </c>
    </row>
    <row r="114" spans="1:23" x14ac:dyDescent="0.6">
      <c r="A114" s="41" t="s">
        <v>109</v>
      </c>
      <c r="B114" s="50">
        <v>25</v>
      </c>
      <c r="C114" s="51" t="s">
        <v>970</v>
      </c>
      <c r="D114" s="25" t="s">
        <v>978</v>
      </c>
      <c r="E114" s="25" t="s">
        <v>982</v>
      </c>
      <c r="F114" s="50">
        <v>3</v>
      </c>
      <c r="G114" s="50">
        <f t="shared" si="7"/>
        <v>598</v>
      </c>
      <c r="H114" s="57">
        <v>760</v>
      </c>
      <c r="I114" s="32">
        <v>598</v>
      </c>
      <c r="J114" s="32">
        <v>598.20000000000005</v>
      </c>
      <c r="K114" s="32">
        <v>2.5099999999999998</v>
      </c>
      <c r="L114" s="46">
        <f t="shared" si="8"/>
        <v>27.090301003344479</v>
      </c>
      <c r="M114" s="46">
        <f t="shared" si="9"/>
        <v>0</v>
      </c>
      <c r="N114" s="46">
        <f t="shared" si="10"/>
        <v>3.3444816053519309E-2</v>
      </c>
      <c r="O114" s="41" t="s">
        <v>1</v>
      </c>
      <c r="P114" s="50">
        <v>601</v>
      </c>
      <c r="Q114" s="30">
        <v>604.79999999999995</v>
      </c>
      <c r="R114" s="33">
        <v>6.17653652</v>
      </c>
      <c r="S114" s="46">
        <f t="shared" si="11"/>
        <v>0.50167224080267558</v>
      </c>
      <c r="T114" s="46">
        <f t="shared" si="12"/>
        <v>1.1371237458193904</v>
      </c>
      <c r="U114" s="50">
        <f>IF($I114&lt;$P114,1,0)</f>
        <v>1</v>
      </c>
      <c r="V114" s="50">
        <f>IF($I114=$P114,1,0)</f>
        <v>0</v>
      </c>
      <c r="W114" s="50">
        <f>IF($I114&gt;$P114,1,0)</f>
        <v>0</v>
      </c>
    </row>
    <row r="115" spans="1:23" x14ac:dyDescent="0.6">
      <c r="A115" s="41" t="s">
        <v>110</v>
      </c>
      <c r="B115" s="50">
        <v>25</v>
      </c>
      <c r="C115" s="51" t="s">
        <v>970</v>
      </c>
      <c r="D115" s="25" t="s">
        <v>978</v>
      </c>
      <c r="E115" s="25" t="s">
        <v>982</v>
      </c>
      <c r="F115" s="50">
        <v>4</v>
      </c>
      <c r="G115" s="50">
        <f t="shared" si="7"/>
        <v>609</v>
      </c>
      <c r="H115" s="57">
        <v>786</v>
      </c>
      <c r="I115" s="32">
        <v>609</v>
      </c>
      <c r="J115" s="32">
        <v>609</v>
      </c>
      <c r="K115" s="32">
        <v>2.5099999999999998</v>
      </c>
      <c r="L115" s="46">
        <f t="shared" si="8"/>
        <v>29.064039408866993</v>
      </c>
      <c r="M115" s="46">
        <f t="shared" si="9"/>
        <v>0</v>
      </c>
      <c r="N115" s="46">
        <f t="shared" si="10"/>
        <v>0</v>
      </c>
      <c r="O115" s="41" t="s">
        <v>1</v>
      </c>
      <c r="P115" s="50">
        <v>611</v>
      </c>
      <c r="Q115" s="30">
        <v>614.4</v>
      </c>
      <c r="R115" s="33">
        <v>6.0417573600000001</v>
      </c>
      <c r="S115" s="46">
        <f t="shared" si="11"/>
        <v>0.32840722495894908</v>
      </c>
      <c r="T115" s="46">
        <f t="shared" si="12"/>
        <v>0.88669950738915881</v>
      </c>
      <c r="U115" s="50">
        <f>IF($I115&lt;$P115,1,0)</f>
        <v>1</v>
      </c>
      <c r="V115" s="50">
        <f>IF($I115=$P115,1,0)</f>
        <v>0</v>
      </c>
      <c r="W115" s="50">
        <f>IF($I115&gt;$P115,1,0)</f>
        <v>0</v>
      </c>
    </row>
    <row r="116" spans="1:23" x14ac:dyDescent="0.6">
      <c r="A116" s="41" t="s">
        <v>111</v>
      </c>
      <c r="B116" s="50">
        <v>25</v>
      </c>
      <c r="C116" s="51" t="s">
        <v>970</v>
      </c>
      <c r="D116" s="25" t="s">
        <v>978</v>
      </c>
      <c r="E116" s="25" t="s">
        <v>982</v>
      </c>
      <c r="F116" s="50">
        <v>5</v>
      </c>
      <c r="G116" s="50">
        <f t="shared" si="7"/>
        <v>588</v>
      </c>
      <c r="H116" s="57">
        <v>779</v>
      </c>
      <c r="I116" s="32">
        <v>588</v>
      </c>
      <c r="J116" s="32">
        <v>588.4</v>
      </c>
      <c r="K116" s="32">
        <v>2.5099999999999998</v>
      </c>
      <c r="L116" s="46">
        <f t="shared" si="8"/>
        <v>32.482993197278915</v>
      </c>
      <c r="M116" s="46">
        <f t="shared" si="9"/>
        <v>0</v>
      </c>
      <c r="N116" s="46">
        <f t="shared" si="10"/>
        <v>6.8027210884349876E-2</v>
      </c>
      <c r="O116" s="41" t="s">
        <v>1</v>
      </c>
      <c r="P116" s="50">
        <v>592</v>
      </c>
      <c r="Q116" s="30">
        <v>596.4</v>
      </c>
      <c r="R116" s="33">
        <v>6.06341062</v>
      </c>
      <c r="S116" s="46">
        <f t="shared" si="11"/>
        <v>0.68027210884353739</v>
      </c>
      <c r="T116" s="46">
        <f t="shared" si="12"/>
        <v>1.4285714285714246</v>
      </c>
      <c r="U116" s="50">
        <f>IF($I116&lt;$P116,1,0)</f>
        <v>1</v>
      </c>
      <c r="V116" s="50">
        <f>IF($I116=$P116,1,0)</f>
        <v>0</v>
      </c>
      <c r="W116" s="50">
        <f>IF($I116&gt;$P116,1,0)</f>
        <v>0</v>
      </c>
    </row>
    <row r="117" spans="1:23" x14ac:dyDescent="0.6">
      <c r="A117" s="41" t="s">
        <v>112</v>
      </c>
      <c r="B117" s="50">
        <v>25</v>
      </c>
      <c r="C117" s="51" t="s">
        <v>970</v>
      </c>
      <c r="D117" s="25" t="s">
        <v>978</v>
      </c>
      <c r="E117" s="25" t="s">
        <v>982</v>
      </c>
      <c r="F117" s="50">
        <v>6</v>
      </c>
      <c r="G117" s="50">
        <f t="shared" si="7"/>
        <v>624</v>
      </c>
      <c r="H117" s="57">
        <v>755</v>
      </c>
      <c r="I117" s="32">
        <v>624</v>
      </c>
      <c r="J117" s="32">
        <v>624</v>
      </c>
      <c r="K117" s="32">
        <v>2.5099999999999998</v>
      </c>
      <c r="L117" s="46">
        <f t="shared" si="8"/>
        <v>20.993589743589745</v>
      </c>
      <c r="M117" s="46">
        <f t="shared" si="9"/>
        <v>0</v>
      </c>
      <c r="N117" s="46">
        <f t="shared" si="10"/>
        <v>0</v>
      </c>
      <c r="O117" s="41" t="s">
        <v>1</v>
      </c>
      <c r="P117" s="50">
        <v>627</v>
      </c>
      <c r="Q117" s="30">
        <v>629.20000000000005</v>
      </c>
      <c r="R117" s="33">
        <v>6.3032895199999999</v>
      </c>
      <c r="S117" s="46">
        <f t="shared" si="11"/>
        <v>0.48076923076923078</v>
      </c>
      <c r="T117" s="46">
        <f t="shared" si="12"/>
        <v>0.83333333333334059</v>
      </c>
      <c r="U117" s="50">
        <f>IF($I117&lt;$P117,1,0)</f>
        <v>1</v>
      </c>
      <c r="V117" s="50">
        <f>IF($I117=$P117,1,0)</f>
        <v>0</v>
      </c>
      <c r="W117" s="50">
        <f>IF($I117&gt;$P117,1,0)</f>
        <v>0</v>
      </c>
    </row>
    <row r="118" spans="1:23" x14ac:dyDescent="0.6">
      <c r="A118" s="41" t="s">
        <v>113</v>
      </c>
      <c r="B118" s="50">
        <v>25</v>
      </c>
      <c r="C118" s="51" t="s">
        <v>970</v>
      </c>
      <c r="D118" s="25" t="s">
        <v>978</v>
      </c>
      <c r="E118" s="25" t="s">
        <v>982</v>
      </c>
      <c r="F118" s="50">
        <v>7</v>
      </c>
      <c r="G118" s="50">
        <f t="shared" si="7"/>
        <v>611</v>
      </c>
      <c r="H118" s="57">
        <v>771</v>
      </c>
      <c r="I118" s="32">
        <v>611</v>
      </c>
      <c r="J118" s="32">
        <v>611</v>
      </c>
      <c r="K118" s="32">
        <v>2.5</v>
      </c>
      <c r="L118" s="46">
        <f t="shared" si="8"/>
        <v>26.186579378068743</v>
      </c>
      <c r="M118" s="46">
        <f t="shared" si="9"/>
        <v>0</v>
      </c>
      <c r="N118" s="46">
        <f t="shared" si="10"/>
        <v>0</v>
      </c>
      <c r="O118" s="41" t="s">
        <v>1</v>
      </c>
      <c r="P118" s="50">
        <v>616</v>
      </c>
      <c r="Q118" s="30">
        <v>618</v>
      </c>
      <c r="R118" s="33">
        <v>6.4765134800000004</v>
      </c>
      <c r="S118" s="46">
        <f t="shared" si="11"/>
        <v>0.81833060556464821</v>
      </c>
      <c r="T118" s="46">
        <f t="shared" si="12"/>
        <v>1.1456628477905073</v>
      </c>
      <c r="U118" s="50">
        <f>IF($I118&lt;$P118,1,0)</f>
        <v>1</v>
      </c>
      <c r="V118" s="50">
        <f>IF($I118=$P118,1,0)</f>
        <v>0</v>
      </c>
      <c r="W118" s="50">
        <f>IF($I118&gt;$P118,1,0)</f>
        <v>0</v>
      </c>
    </row>
    <row r="119" spans="1:23" x14ac:dyDescent="0.6">
      <c r="A119" s="41" t="s">
        <v>114</v>
      </c>
      <c r="B119" s="50">
        <v>25</v>
      </c>
      <c r="C119" s="51" t="s">
        <v>970</v>
      </c>
      <c r="D119" s="25" t="s">
        <v>978</v>
      </c>
      <c r="E119" s="25" t="s">
        <v>982</v>
      </c>
      <c r="F119" s="50">
        <v>8</v>
      </c>
      <c r="G119" s="50">
        <f t="shared" si="7"/>
        <v>611</v>
      </c>
      <c r="H119" s="57">
        <v>779</v>
      </c>
      <c r="I119" s="32">
        <v>611</v>
      </c>
      <c r="J119" s="32">
        <v>612.20000000000005</v>
      </c>
      <c r="K119" s="32">
        <v>2.5</v>
      </c>
      <c r="L119" s="46">
        <f t="shared" si="8"/>
        <v>27.495908346972175</v>
      </c>
      <c r="M119" s="46">
        <f t="shared" si="9"/>
        <v>0</v>
      </c>
      <c r="N119" s="46">
        <f t="shared" si="10"/>
        <v>0.196399345335523</v>
      </c>
      <c r="O119" s="41" t="s">
        <v>1</v>
      </c>
      <c r="P119" s="50">
        <v>618</v>
      </c>
      <c r="Q119" s="30">
        <v>618.79999999999995</v>
      </c>
      <c r="R119" s="33">
        <v>6.1558043199999997</v>
      </c>
      <c r="S119" s="46">
        <f t="shared" si="11"/>
        <v>1.1456628477905073</v>
      </c>
      <c r="T119" s="46">
        <f t="shared" si="12"/>
        <v>1.2765957446808436</v>
      </c>
      <c r="U119" s="50">
        <f>IF($I119&lt;$P119,1,0)</f>
        <v>1</v>
      </c>
      <c r="V119" s="50">
        <f>IF($I119=$P119,1,0)</f>
        <v>0</v>
      </c>
      <c r="W119" s="50">
        <f>IF($I119&gt;$P119,1,0)</f>
        <v>0</v>
      </c>
    </row>
    <row r="120" spans="1:23" x14ac:dyDescent="0.6">
      <c r="A120" s="41" t="s">
        <v>115</v>
      </c>
      <c r="B120" s="50">
        <v>25</v>
      </c>
      <c r="C120" s="51" t="s">
        <v>970</v>
      </c>
      <c r="D120" s="25" t="s">
        <v>978</v>
      </c>
      <c r="E120" s="25" t="s">
        <v>982</v>
      </c>
      <c r="F120" s="50">
        <v>9</v>
      </c>
      <c r="G120" s="50">
        <f t="shared" si="7"/>
        <v>600</v>
      </c>
      <c r="H120" s="57">
        <v>749</v>
      </c>
      <c r="I120" s="32">
        <v>600</v>
      </c>
      <c r="J120" s="32">
        <v>600.6</v>
      </c>
      <c r="K120" s="32">
        <v>2.5099999999999998</v>
      </c>
      <c r="L120" s="46">
        <f t="shared" si="8"/>
        <v>24.833333333333332</v>
      </c>
      <c r="M120" s="46">
        <f t="shared" si="9"/>
        <v>0</v>
      </c>
      <c r="N120" s="46">
        <f t="shared" si="10"/>
        <v>0.10000000000000379</v>
      </c>
      <c r="O120" s="41" t="s">
        <v>1</v>
      </c>
      <c r="P120" s="50">
        <v>606</v>
      </c>
      <c r="Q120" s="30">
        <v>611.20000000000005</v>
      </c>
      <c r="R120" s="33">
        <v>6.6270716800000002</v>
      </c>
      <c r="S120" s="46">
        <f t="shared" si="11"/>
        <v>1</v>
      </c>
      <c r="T120" s="46">
        <f t="shared" si="12"/>
        <v>1.866666666666674</v>
      </c>
      <c r="U120" s="50">
        <f>IF($I120&lt;$P120,1,0)</f>
        <v>1</v>
      </c>
      <c r="V120" s="50">
        <f>IF($I120=$P120,1,0)</f>
        <v>0</v>
      </c>
      <c r="W120" s="50">
        <f>IF($I120&gt;$P120,1,0)</f>
        <v>0</v>
      </c>
    </row>
    <row r="121" spans="1:23" x14ac:dyDescent="0.6">
      <c r="A121" s="41" t="s">
        <v>116</v>
      </c>
      <c r="B121" s="50">
        <v>25</v>
      </c>
      <c r="C121" s="51" t="s">
        <v>970</v>
      </c>
      <c r="D121" s="25" t="s">
        <v>978</v>
      </c>
      <c r="E121" s="25" t="s">
        <v>982</v>
      </c>
      <c r="F121" s="50">
        <v>10</v>
      </c>
      <c r="G121" s="50">
        <f t="shared" si="7"/>
        <v>608</v>
      </c>
      <c r="H121" s="57">
        <v>749</v>
      </c>
      <c r="I121" s="32">
        <v>608</v>
      </c>
      <c r="J121" s="32">
        <v>608.79999999999995</v>
      </c>
      <c r="K121" s="32">
        <v>2.5099999999999998</v>
      </c>
      <c r="L121" s="46">
        <f t="shared" si="8"/>
        <v>23.190789473684212</v>
      </c>
      <c r="M121" s="46">
        <f t="shared" si="9"/>
        <v>0</v>
      </c>
      <c r="N121" s="46">
        <f t="shared" si="10"/>
        <v>0.13157894736841358</v>
      </c>
      <c r="O121" s="41" t="s">
        <v>1</v>
      </c>
      <c r="P121" s="50">
        <v>612</v>
      </c>
      <c r="Q121" s="30">
        <v>615.20000000000005</v>
      </c>
      <c r="R121" s="33">
        <v>6.13569282</v>
      </c>
      <c r="S121" s="46">
        <f t="shared" si="11"/>
        <v>0.6578947368421052</v>
      </c>
      <c r="T121" s="46">
        <f t="shared" si="12"/>
        <v>1.1842105263157969</v>
      </c>
      <c r="U121" s="50">
        <f>IF($I121&lt;$P121,1,0)</f>
        <v>1</v>
      </c>
      <c r="V121" s="50">
        <f>IF($I121=$P121,1,0)</f>
        <v>0</v>
      </c>
      <c r="W121" s="50">
        <f>IF($I121&gt;$P121,1,0)</f>
        <v>0</v>
      </c>
    </row>
    <row r="122" spans="1:23" x14ac:dyDescent="0.6">
      <c r="A122" s="41" t="s">
        <v>117</v>
      </c>
      <c r="B122" s="50">
        <v>25</v>
      </c>
      <c r="C122" s="25" t="s">
        <v>974</v>
      </c>
      <c r="D122" s="25" t="s">
        <v>977</v>
      </c>
      <c r="E122" s="25" t="s">
        <v>981</v>
      </c>
      <c r="F122" s="50">
        <v>1</v>
      </c>
      <c r="G122" s="50">
        <f t="shared" si="7"/>
        <v>732</v>
      </c>
      <c r="H122" s="57">
        <v>875</v>
      </c>
      <c r="I122" s="32">
        <v>732</v>
      </c>
      <c r="J122" s="32">
        <v>732.6</v>
      </c>
      <c r="K122" s="32">
        <v>2.5099999999999998</v>
      </c>
      <c r="L122" s="46">
        <f t="shared" si="8"/>
        <v>19.535519125683059</v>
      </c>
      <c r="M122" s="46">
        <f t="shared" si="9"/>
        <v>0</v>
      </c>
      <c r="N122" s="46">
        <f t="shared" si="10"/>
        <v>8.1967213114757215E-2</v>
      </c>
      <c r="O122" s="41" t="s">
        <v>1</v>
      </c>
      <c r="P122" s="50">
        <v>737</v>
      </c>
      <c r="Q122" s="30">
        <v>739.2</v>
      </c>
      <c r="R122" s="33">
        <v>5.6553062599999997</v>
      </c>
      <c r="S122" s="46">
        <f t="shared" si="11"/>
        <v>0.68306010928961747</v>
      </c>
      <c r="T122" s="46">
        <f t="shared" si="12"/>
        <v>0.98360655737705538</v>
      </c>
      <c r="U122" s="50">
        <f>IF($I122&lt;$P122,1,0)</f>
        <v>1</v>
      </c>
      <c r="V122" s="50">
        <f>IF($I122=$P122,1,0)</f>
        <v>0</v>
      </c>
      <c r="W122" s="50">
        <f>IF($I122&gt;$P122,1,0)</f>
        <v>0</v>
      </c>
    </row>
    <row r="123" spans="1:23" x14ac:dyDescent="0.6">
      <c r="A123" s="41" t="s">
        <v>118</v>
      </c>
      <c r="B123" s="50">
        <v>25</v>
      </c>
      <c r="C123" s="25" t="s">
        <v>974</v>
      </c>
      <c r="D123" s="25" t="s">
        <v>977</v>
      </c>
      <c r="E123" s="25" t="s">
        <v>983</v>
      </c>
      <c r="F123" s="50">
        <v>2</v>
      </c>
      <c r="G123" s="50">
        <f t="shared" si="7"/>
        <v>715</v>
      </c>
      <c r="H123" s="57">
        <v>766</v>
      </c>
      <c r="I123" s="32">
        <v>715</v>
      </c>
      <c r="J123" s="32">
        <v>715</v>
      </c>
      <c r="K123" s="32">
        <v>2.5</v>
      </c>
      <c r="L123" s="46">
        <f t="shared" si="8"/>
        <v>7.1328671328671325</v>
      </c>
      <c r="M123" s="46">
        <f t="shared" si="9"/>
        <v>0</v>
      </c>
      <c r="N123" s="46">
        <f t="shared" si="10"/>
        <v>0</v>
      </c>
      <c r="O123" s="41" t="s">
        <v>1</v>
      </c>
      <c r="P123" s="50">
        <v>720</v>
      </c>
      <c r="Q123" s="30">
        <v>722.2</v>
      </c>
      <c r="R123" s="33">
        <v>5.8774854799999998</v>
      </c>
      <c r="S123" s="46">
        <f t="shared" si="11"/>
        <v>0.69930069930069927</v>
      </c>
      <c r="T123" s="46">
        <f t="shared" si="12"/>
        <v>1.0069930069930133</v>
      </c>
      <c r="U123" s="50">
        <f>IF($I123&lt;$P123,1,0)</f>
        <v>1</v>
      </c>
      <c r="V123" s="50">
        <f>IF($I123=$P123,1,0)</f>
        <v>0</v>
      </c>
      <c r="W123" s="50">
        <f>IF($I123&gt;$P123,1,0)</f>
        <v>0</v>
      </c>
    </row>
    <row r="124" spans="1:23" x14ac:dyDescent="0.6">
      <c r="A124" s="41" t="s">
        <v>119</v>
      </c>
      <c r="B124" s="50">
        <v>25</v>
      </c>
      <c r="C124" s="25" t="s">
        <v>973</v>
      </c>
      <c r="D124" s="25" t="s">
        <v>976</v>
      </c>
      <c r="E124" s="25" t="s">
        <v>980</v>
      </c>
      <c r="F124" s="50">
        <v>3</v>
      </c>
      <c r="G124" s="50">
        <f t="shared" si="7"/>
        <v>728</v>
      </c>
      <c r="H124" s="57">
        <v>828</v>
      </c>
      <c r="I124" s="32">
        <v>728</v>
      </c>
      <c r="J124" s="32">
        <v>728.4</v>
      </c>
      <c r="K124" s="32">
        <v>2.5099999999999998</v>
      </c>
      <c r="L124" s="46">
        <f t="shared" si="8"/>
        <v>13.736263736263737</v>
      </c>
      <c r="M124" s="46">
        <f t="shared" si="9"/>
        <v>0</v>
      </c>
      <c r="N124" s="46">
        <f t="shared" si="10"/>
        <v>5.4945054945051822E-2</v>
      </c>
      <c r="O124" s="41" t="s">
        <v>1</v>
      </c>
      <c r="P124" s="50">
        <v>733</v>
      </c>
      <c r="Q124" s="30">
        <v>734.4</v>
      </c>
      <c r="R124" s="33">
        <v>5.8675478400000003</v>
      </c>
      <c r="S124" s="46">
        <f t="shared" si="11"/>
        <v>0.68681318681318682</v>
      </c>
      <c r="T124" s="46">
        <f t="shared" si="12"/>
        <v>0.879120879120876</v>
      </c>
      <c r="U124" s="50">
        <f>IF($I124&lt;$P124,1,0)</f>
        <v>1</v>
      </c>
      <c r="V124" s="50">
        <f>IF($I124=$P124,1,0)</f>
        <v>0</v>
      </c>
      <c r="W124" s="50">
        <f>IF($I124&gt;$P124,1,0)</f>
        <v>0</v>
      </c>
    </row>
    <row r="125" spans="1:23" x14ac:dyDescent="0.6">
      <c r="A125" s="41" t="s">
        <v>120</v>
      </c>
      <c r="B125" s="50">
        <v>25</v>
      </c>
      <c r="C125" s="25" t="s">
        <v>973</v>
      </c>
      <c r="D125" s="25" t="s">
        <v>976</v>
      </c>
      <c r="E125" s="25" t="s">
        <v>980</v>
      </c>
      <c r="F125" s="50">
        <v>4</v>
      </c>
      <c r="G125" s="50">
        <f t="shared" si="7"/>
        <v>739</v>
      </c>
      <c r="H125" s="57">
        <v>856</v>
      </c>
      <c r="I125" s="32">
        <v>739</v>
      </c>
      <c r="J125" s="32">
        <v>739</v>
      </c>
      <c r="K125" s="32">
        <v>2.5099999999999998</v>
      </c>
      <c r="L125" s="46">
        <f t="shared" si="8"/>
        <v>15.832205683355886</v>
      </c>
      <c r="M125" s="46">
        <f t="shared" si="9"/>
        <v>0</v>
      </c>
      <c r="N125" s="46">
        <f t="shared" si="10"/>
        <v>0</v>
      </c>
      <c r="O125" s="41" t="s">
        <v>1</v>
      </c>
      <c r="P125" s="50">
        <v>743</v>
      </c>
      <c r="Q125" s="30">
        <v>745.8</v>
      </c>
      <c r="R125" s="33">
        <v>6.1219370800000004</v>
      </c>
      <c r="S125" s="46">
        <f t="shared" si="11"/>
        <v>0.54127198917456021</v>
      </c>
      <c r="T125" s="46">
        <f t="shared" si="12"/>
        <v>0.92016238159674624</v>
      </c>
      <c r="U125" s="50">
        <f>IF($I125&lt;$P125,1,0)</f>
        <v>1</v>
      </c>
      <c r="V125" s="50">
        <f>IF($I125=$P125,1,0)</f>
        <v>0</v>
      </c>
      <c r="W125" s="50">
        <f>IF($I125&gt;$P125,1,0)</f>
        <v>0</v>
      </c>
    </row>
    <row r="126" spans="1:23" x14ac:dyDescent="0.6">
      <c r="A126" s="41" t="s">
        <v>402</v>
      </c>
      <c r="B126" s="50">
        <v>25</v>
      </c>
      <c r="C126" s="25" t="s">
        <v>973</v>
      </c>
      <c r="D126" s="25" t="s">
        <v>976</v>
      </c>
      <c r="E126" s="25" t="s">
        <v>980</v>
      </c>
      <c r="F126" s="50">
        <v>5</v>
      </c>
      <c r="G126" s="50">
        <f t="shared" si="7"/>
        <v>718</v>
      </c>
      <c r="H126" s="57">
        <v>849</v>
      </c>
      <c r="I126" s="32">
        <v>718</v>
      </c>
      <c r="J126" s="32">
        <v>718.2</v>
      </c>
      <c r="K126" s="32">
        <v>2.5</v>
      </c>
      <c r="L126" s="46">
        <f t="shared" si="8"/>
        <v>18.245125348189415</v>
      </c>
      <c r="M126" s="46">
        <f t="shared" si="9"/>
        <v>0</v>
      </c>
      <c r="N126" s="46">
        <f t="shared" si="10"/>
        <v>2.7855153203348953E-2</v>
      </c>
      <c r="O126" s="41" t="s">
        <v>1</v>
      </c>
      <c r="P126" s="50">
        <v>723</v>
      </c>
      <c r="Q126" s="30">
        <v>725</v>
      </c>
      <c r="R126" s="33">
        <v>5.8631961400000003</v>
      </c>
      <c r="S126" s="46">
        <f t="shared" si="11"/>
        <v>0.69637883008356549</v>
      </c>
      <c r="T126" s="46">
        <f t="shared" si="12"/>
        <v>0.97493036211699169</v>
      </c>
      <c r="U126" s="50">
        <f>IF($I126&lt;$P126,1,0)</f>
        <v>1</v>
      </c>
      <c r="V126" s="50">
        <f>IF($I126=$P126,1,0)</f>
        <v>0</v>
      </c>
      <c r="W126" s="50">
        <f>IF($I126&gt;$P126,1,0)</f>
        <v>0</v>
      </c>
    </row>
    <row r="127" spans="1:23" x14ac:dyDescent="0.6">
      <c r="A127" s="41" t="s">
        <v>121</v>
      </c>
      <c r="B127" s="50">
        <v>25</v>
      </c>
      <c r="C127" s="25" t="s">
        <v>973</v>
      </c>
      <c r="D127" s="25" t="s">
        <v>976</v>
      </c>
      <c r="E127" s="25" t="s">
        <v>980</v>
      </c>
      <c r="F127" s="50">
        <v>6</v>
      </c>
      <c r="G127" s="50">
        <f t="shared" si="7"/>
        <v>753</v>
      </c>
      <c r="H127" s="57">
        <v>837</v>
      </c>
      <c r="I127" s="32">
        <v>753</v>
      </c>
      <c r="J127" s="32">
        <v>753.8</v>
      </c>
      <c r="K127" s="32">
        <v>2.5</v>
      </c>
      <c r="L127" s="46">
        <f t="shared" si="8"/>
        <v>11.155378486055776</v>
      </c>
      <c r="M127" s="46">
        <f t="shared" si="9"/>
        <v>0</v>
      </c>
      <c r="N127" s="46">
        <f t="shared" si="10"/>
        <v>0.10624169986719184</v>
      </c>
      <c r="O127" s="41" t="s">
        <v>1</v>
      </c>
      <c r="P127" s="50">
        <v>758</v>
      </c>
      <c r="Q127" s="30">
        <v>759.8</v>
      </c>
      <c r="R127" s="33">
        <v>5.9742040200000002</v>
      </c>
      <c r="S127" s="46">
        <f t="shared" si="11"/>
        <v>0.66401062416998669</v>
      </c>
      <c r="T127" s="46">
        <f t="shared" si="12"/>
        <v>0.90305444887117581</v>
      </c>
      <c r="U127" s="50">
        <f>IF($I127&lt;$P127,1,0)</f>
        <v>1</v>
      </c>
      <c r="V127" s="50">
        <f>IF($I127=$P127,1,0)</f>
        <v>0</v>
      </c>
      <c r="W127" s="50">
        <f>IF($I127&gt;$P127,1,0)</f>
        <v>0</v>
      </c>
    </row>
    <row r="128" spans="1:23" x14ac:dyDescent="0.6">
      <c r="A128" s="41" t="s">
        <v>122</v>
      </c>
      <c r="B128" s="50">
        <v>25</v>
      </c>
      <c r="C128" s="25" t="s">
        <v>973</v>
      </c>
      <c r="D128" s="25" t="s">
        <v>976</v>
      </c>
      <c r="E128" s="25" t="s">
        <v>980</v>
      </c>
      <c r="F128" s="50">
        <v>7</v>
      </c>
      <c r="G128" s="50">
        <f t="shared" si="7"/>
        <v>741</v>
      </c>
      <c r="H128" s="57">
        <v>841</v>
      </c>
      <c r="I128" s="32">
        <v>741</v>
      </c>
      <c r="J128" s="32">
        <v>741</v>
      </c>
      <c r="K128" s="32">
        <v>2.5099999999999998</v>
      </c>
      <c r="L128" s="46">
        <f t="shared" si="8"/>
        <v>13.495276653171389</v>
      </c>
      <c r="M128" s="46">
        <f t="shared" si="9"/>
        <v>0</v>
      </c>
      <c r="N128" s="46">
        <f t="shared" si="10"/>
        <v>0</v>
      </c>
      <c r="O128" s="41" t="s">
        <v>1</v>
      </c>
      <c r="P128" s="50">
        <v>745</v>
      </c>
      <c r="Q128" s="30">
        <v>748.4</v>
      </c>
      <c r="R128" s="33">
        <v>6.3842672800000004</v>
      </c>
      <c r="S128" s="46">
        <f t="shared" si="11"/>
        <v>0.53981106612685559</v>
      </c>
      <c r="T128" s="46">
        <f t="shared" si="12"/>
        <v>0.99865047233467974</v>
      </c>
      <c r="U128" s="50">
        <f>IF($I128&lt;$P128,1,0)</f>
        <v>1</v>
      </c>
      <c r="V128" s="50">
        <f>IF($I128=$P128,1,0)</f>
        <v>0</v>
      </c>
      <c r="W128" s="50">
        <f>IF($I128&gt;$P128,1,0)</f>
        <v>0</v>
      </c>
    </row>
    <row r="129" spans="1:23" x14ac:dyDescent="0.6">
      <c r="A129" s="41" t="s">
        <v>123</v>
      </c>
      <c r="B129" s="50">
        <v>25</v>
      </c>
      <c r="C129" s="25" t="s">
        <v>973</v>
      </c>
      <c r="D129" s="25" t="s">
        <v>976</v>
      </c>
      <c r="E129" s="25" t="s">
        <v>980</v>
      </c>
      <c r="F129" s="50">
        <v>8</v>
      </c>
      <c r="G129" s="50">
        <f t="shared" si="7"/>
        <v>742</v>
      </c>
      <c r="H129" s="57">
        <v>849</v>
      </c>
      <c r="I129" s="32">
        <v>742</v>
      </c>
      <c r="J129" s="32">
        <v>742.2</v>
      </c>
      <c r="K129" s="32">
        <v>2.5</v>
      </c>
      <c r="L129" s="46">
        <f t="shared" si="8"/>
        <v>14.420485175202154</v>
      </c>
      <c r="M129" s="46">
        <f t="shared" si="9"/>
        <v>0</v>
      </c>
      <c r="N129" s="46">
        <f t="shared" si="10"/>
        <v>2.6954177897580252E-2</v>
      </c>
      <c r="O129" s="41" t="s">
        <v>1</v>
      </c>
      <c r="P129" s="50">
        <v>749</v>
      </c>
      <c r="Q129" s="30">
        <v>750.8</v>
      </c>
      <c r="R129" s="33">
        <v>5.8783168799999999</v>
      </c>
      <c r="S129" s="46">
        <f t="shared" si="11"/>
        <v>0.94339622641509435</v>
      </c>
      <c r="T129" s="46">
        <f t="shared" si="12"/>
        <v>1.1859838274932553</v>
      </c>
      <c r="U129" s="50">
        <f>IF($I129&lt;$P129,1,0)</f>
        <v>1</v>
      </c>
      <c r="V129" s="50">
        <f>IF($I129=$P129,1,0)</f>
        <v>0</v>
      </c>
      <c r="W129" s="50">
        <f>IF($I129&gt;$P129,1,0)</f>
        <v>0</v>
      </c>
    </row>
    <row r="130" spans="1:23" x14ac:dyDescent="0.6">
      <c r="A130" s="41" t="s">
        <v>124</v>
      </c>
      <c r="B130" s="50">
        <v>25</v>
      </c>
      <c r="C130" s="25" t="s">
        <v>973</v>
      </c>
      <c r="D130" s="25" t="s">
        <v>976</v>
      </c>
      <c r="E130" s="25" t="s">
        <v>980</v>
      </c>
      <c r="F130" s="50">
        <v>9</v>
      </c>
      <c r="G130" s="50">
        <f t="shared" si="7"/>
        <v>730</v>
      </c>
      <c r="H130" s="57">
        <v>814</v>
      </c>
      <c r="I130" s="32">
        <v>730</v>
      </c>
      <c r="J130" s="32">
        <v>730.6</v>
      </c>
      <c r="K130" s="32">
        <v>2.5099999999999998</v>
      </c>
      <c r="L130" s="46">
        <f t="shared" si="8"/>
        <v>11.506849315068493</v>
      </c>
      <c r="M130" s="46">
        <f t="shared" si="9"/>
        <v>0</v>
      </c>
      <c r="N130" s="46">
        <f t="shared" si="10"/>
        <v>8.2191780821920926E-2</v>
      </c>
      <c r="O130" s="41" t="s">
        <v>1</v>
      </c>
      <c r="P130" s="50">
        <v>732</v>
      </c>
      <c r="Q130" s="30">
        <v>736.8</v>
      </c>
      <c r="R130" s="33">
        <v>6.3573549199999997</v>
      </c>
      <c r="S130" s="46">
        <f t="shared" si="11"/>
        <v>0.27397260273972601</v>
      </c>
      <c r="T130" s="46">
        <f t="shared" si="12"/>
        <v>0.93150684931506222</v>
      </c>
      <c r="U130" s="50">
        <f>IF($I130&lt;$P130,1,0)</f>
        <v>1</v>
      </c>
      <c r="V130" s="50">
        <f>IF($I130=$P130,1,0)</f>
        <v>0</v>
      </c>
      <c r="W130" s="50">
        <f>IF($I130&gt;$P130,1,0)</f>
        <v>0</v>
      </c>
    </row>
    <row r="131" spans="1:23" x14ac:dyDescent="0.6">
      <c r="A131" s="41" t="s">
        <v>125</v>
      </c>
      <c r="B131" s="50">
        <v>25</v>
      </c>
      <c r="C131" s="25" t="s">
        <v>973</v>
      </c>
      <c r="D131" s="25" t="s">
        <v>976</v>
      </c>
      <c r="E131" s="25" t="s">
        <v>980</v>
      </c>
      <c r="F131" s="50">
        <v>10</v>
      </c>
      <c r="G131" s="50">
        <f t="shared" ref="G131:G194" si="13">MIN(I131,P131)</f>
        <v>739</v>
      </c>
      <c r="H131" s="57">
        <v>829</v>
      </c>
      <c r="I131" s="32">
        <v>739</v>
      </c>
      <c r="J131" s="32">
        <v>739</v>
      </c>
      <c r="K131" s="32">
        <v>2.5099999999999998</v>
      </c>
      <c r="L131" s="46">
        <f t="shared" ref="L131:L194" si="14">(H131-$G131)/$G131*100</f>
        <v>12.178619756427606</v>
      </c>
      <c r="M131" s="46">
        <f t="shared" ref="M131:M194" si="15">(I131-$G131)/$G131*100</f>
        <v>0</v>
      </c>
      <c r="N131" s="46">
        <f t="shared" ref="N131:N194" si="16">(J131-$G131)/$G131*100</f>
        <v>0</v>
      </c>
      <c r="O131" s="41" t="s">
        <v>1</v>
      </c>
      <c r="P131" s="50">
        <v>745</v>
      </c>
      <c r="Q131" s="30">
        <v>746</v>
      </c>
      <c r="R131" s="33">
        <v>5.8222788000000003</v>
      </c>
      <c r="S131" s="46">
        <f t="shared" ref="S131:S194" si="17">(P131-$G131)/$G131*100</f>
        <v>0.81190798376184026</v>
      </c>
      <c r="T131" s="46">
        <f t="shared" ref="T131:T194" si="18">(Q131-$G131)/$G131*100</f>
        <v>0.94722598105548039</v>
      </c>
      <c r="U131" s="50">
        <f>IF($I131&lt;$P131,1,0)</f>
        <v>1</v>
      </c>
      <c r="V131" s="50">
        <f>IF($I131=$P131,1,0)</f>
        <v>0</v>
      </c>
      <c r="W131" s="50">
        <f>IF($I131&gt;$P131,1,0)</f>
        <v>0</v>
      </c>
    </row>
    <row r="132" spans="1:23" x14ac:dyDescent="0.6">
      <c r="A132" s="41" t="s">
        <v>126</v>
      </c>
      <c r="B132" s="50">
        <v>25</v>
      </c>
      <c r="C132" s="25" t="s">
        <v>973</v>
      </c>
      <c r="D132" s="25" t="s">
        <v>976</v>
      </c>
      <c r="E132" s="25" t="s">
        <v>984</v>
      </c>
      <c r="F132" s="50">
        <v>1</v>
      </c>
      <c r="G132" s="50">
        <f t="shared" si="13"/>
        <v>732</v>
      </c>
      <c r="H132" s="57">
        <v>989</v>
      </c>
      <c r="I132" s="32">
        <v>732</v>
      </c>
      <c r="J132" s="32">
        <v>732.4</v>
      </c>
      <c r="K132" s="32">
        <v>2.5099999999999998</v>
      </c>
      <c r="L132" s="46">
        <f t="shared" si="14"/>
        <v>35.10928961748634</v>
      </c>
      <c r="M132" s="46">
        <f t="shared" si="15"/>
        <v>0</v>
      </c>
      <c r="N132" s="46">
        <f t="shared" si="16"/>
        <v>5.4644808743166295E-2</v>
      </c>
      <c r="O132" s="41" t="s">
        <v>1</v>
      </c>
      <c r="P132" s="50">
        <v>738</v>
      </c>
      <c r="Q132" s="30">
        <v>739.8</v>
      </c>
      <c r="R132" s="33">
        <v>6.0116968599999998</v>
      </c>
      <c r="S132" s="46">
        <f t="shared" si="17"/>
        <v>0.81967213114754101</v>
      </c>
      <c r="T132" s="46">
        <f t="shared" si="18"/>
        <v>1.0655737704917971</v>
      </c>
      <c r="U132" s="50">
        <f>IF($I132&lt;$P132,1,0)</f>
        <v>1</v>
      </c>
      <c r="V132" s="50">
        <f>IF($I132=$P132,1,0)</f>
        <v>0</v>
      </c>
      <c r="W132" s="50">
        <f>IF($I132&gt;$P132,1,0)</f>
        <v>0</v>
      </c>
    </row>
    <row r="133" spans="1:23" x14ac:dyDescent="0.6">
      <c r="A133" s="41" t="s">
        <v>127</v>
      </c>
      <c r="B133" s="50">
        <v>25</v>
      </c>
      <c r="C133" s="25" t="s">
        <v>973</v>
      </c>
      <c r="D133" s="25" t="s">
        <v>976</v>
      </c>
      <c r="E133" s="25" t="s">
        <v>984</v>
      </c>
      <c r="F133" s="50">
        <v>2</v>
      </c>
      <c r="G133" s="50">
        <f t="shared" si="13"/>
        <v>714</v>
      </c>
      <c r="H133" s="57">
        <v>804</v>
      </c>
      <c r="I133" s="32">
        <v>714</v>
      </c>
      <c r="J133" s="32">
        <v>714.8</v>
      </c>
      <c r="K133" s="32">
        <v>2.5099999999999998</v>
      </c>
      <c r="L133" s="46">
        <f t="shared" si="14"/>
        <v>12.605042016806722</v>
      </c>
      <c r="M133" s="46">
        <f t="shared" si="15"/>
        <v>0</v>
      </c>
      <c r="N133" s="46">
        <f t="shared" si="16"/>
        <v>0.1120448179271645</v>
      </c>
      <c r="O133" s="41" t="s">
        <v>1</v>
      </c>
      <c r="P133" s="50">
        <v>719</v>
      </c>
      <c r="Q133" s="30">
        <v>721.4</v>
      </c>
      <c r="R133" s="33">
        <v>6.0008610400000002</v>
      </c>
      <c r="S133" s="46">
        <f t="shared" si="17"/>
        <v>0.70028011204481799</v>
      </c>
      <c r="T133" s="46">
        <f t="shared" si="18"/>
        <v>1.0364145658263273</v>
      </c>
      <c r="U133" s="50">
        <f>IF($I133&lt;$P133,1,0)</f>
        <v>1</v>
      </c>
      <c r="V133" s="50">
        <f>IF($I133=$P133,1,0)</f>
        <v>0</v>
      </c>
      <c r="W133" s="50">
        <f>IF($I133&gt;$P133,1,0)</f>
        <v>0</v>
      </c>
    </row>
    <row r="134" spans="1:23" x14ac:dyDescent="0.6">
      <c r="A134" s="41" t="s">
        <v>128</v>
      </c>
      <c r="B134" s="50">
        <v>25</v>
      </c>
      <c r="C134" s="25" t="s">
        <v>973</v>
      </c>
      <c r="D134" s="25" t="s">
        <v>976</v>
      </c>
      <c r="E134" s="25" t="s">
        <v>982</v>
      </c>
      <c r="F134" s="50">
        <v>3</v>
      </c>
      <c r="G134" s="50">
        <f t="shared" si="13"/>
        <v>728</v>
      </c>
      <c r="H134" s="57">
        <v>905</v>
      </c>
      <c r="I134" s="32">
        <v>728</v>
      </c>
      <c r="J134" s="32">
        <v>728.2</v>
      </c>
      <c r="K134" s="32">
        <v>2.5099999999999998</v>
      </c>
      <c r="L134" s="46">
        <f t="shared" si="14"/>
        <v>24.313186813186814</v>
      </c>
      <c r="M134" s="46">
        <f t="shared" si="15"/>
        <v>0</v>
      </c>
      <c r="N134" s="46">
        <f t="shared" si="16"/>
        <v>2.7472527472533717E-2</v>
      </c>
      <c r="O134" s="41" t="s">
        <v>1</v>
      </c>
      <c r="P134" s="50">
        <v>733</v>
      </c>
      <c r="Q134" s="30">
        <v>736.2</v>
      </c>
      <c r="R134" s="33">
        <v>6.0360404599999997</v>
      </c>
      <c r="S134" s="46">
        <f t="shared" si="17"/>
        <v>0.68681318681318682</v>
      </c>
      <c r="T134" s="46">
        <f t="shared" si="18"/>
        <v>1.1263736263736326</v>
      </c>
      <c r="U134" s="50">
        <f>IF($I134&lt;$P134,1,0)</f>
        <v>1</v>
      </c>
      <c r="V134" s="50">
        <f>IF($I134=$P134,1,0)</f>
        <v>0</v>
      </c>
      <c r="W134" s="50">
        <f>IF($I134&gt;$P134,1,0)</f>
        <v>0</v>
      </c>
    </row>
    <row r="135" spans="1:23" x14ac:dyDescent="0.6">
      <c r="A135" s="41" t="s">
        <v>129</v>
      </c>
      <c r="B135" s="50">
        <v>25</v>
      </c>
      <c r="C135" s="25" t="s">
        <v>973</v>
      </c>
      <c r="D135" s="25" t="s">
        <v>976</v>
      </c>
      <c r="E135" s="25" t="s">
        <v>982</v>
      </c>
      <c r="F135" s="50">
        <v>4</v>
      </c>
      <c r="G135" s="50">
        <f t="shared" si="13"/>
        <v>739</v>
      </c>
      <c r="H135" s="57">
        <v>936</v>
      </c>
      <c r="I135" s="32">
        <v>739</v>
      </c>
      <c r="J135" s="32">
        <v>739</v>
      </c>
      <c r="K135" s="32">
        <v>2.5099999999999998</v>
      </c>
      <c r="L135" s="46">
        <f t="shared" si="14"/>
        <v>26.657645466847089</v>
      </c>
      <c r="M135" s="46">
        <f t="shared" si="15"/>
        <v>0</v>
      </c>
      <c r="N135" s="46">
        <f t="shared" si="16"/>
        <v>0</v>
      </c>
      <c r="O135" s="41" t="s">
        <v>1</v>
      </c>
      <c r="P135" s="50">
        <v>741</v>
      </c>
      <c r="Q135" s="30">
        <v>745.6</v>
      </c>
      <c r="R135" s="33">
        <v>6.0716437799999996</v>
      </c>
      <c r="S135" s="46">
        <f t="shared" si="17"/>
        <v>0.2706359945872801</v>
      </c>
      <c r="T135" s="46">
        <f t="shared" si="18"/>
        <v>0.8930987821380274</v>
      </c>
      <c r="U135" s="50">
        <f>IF($I135&lt;$P135,1,0)</f>
        <v>1</v>
      </c>
      <c r="V135" s="50">
        <f>IF($I135=$P135,1,0)</f>
        <v>0</v>
      </c>
      <c r="W135" s="50">
        <f>IF($I135&gt;$P135,1,0)</f>
        <v>0</v>
      </c>
    </row>
    <row r="136" spans="1:23" x14ac:dyDescent="0.6">
      <c r="A136" s="41" t="s">
        <v>130</v>
      </c>
      <c r="B136" s="50">
        <v>25</v>
      </c>
      <c r="C136" s="25" t="s">
        <v>973</v>
      </c>
      <c r="D136" s="25" t="s">
        <v>976</v>
      </c>
      <c r="E136" s="25" t="s">
        <v>982</v>
      </c>
      <c r="F136" s="50">
        <v>5</v>
      </c>
      <c r="G136" s="50">
        <f t="shared" si="13"/>
        <v>718</v>
      </c>
      <c r="H136" s="57">
        <v>929</v>
      </c>
      <c r="I136" s="32">
        <v>718</v>
      </c>
      <c r="J136" s="32">
        <v>718.2</v>
      </c>
      <c r="K136" s="32">
        <v>2.5099999999999998</v>
      </c>
      <c r="L136" s="46">
        <f t="shared" si="14"/>
        <v>29.387186629526461</v>
      </c>
      <c r="M136" s="46">
        <f t="shared" si="15"/>
        <v>0</v>
      </c>
      <c r="N136" s="46">
        <f t="shared" si="16"/>
        <v>2.7855153203348953E-2</v>
      </c>
      <c r="O136" s="41" t="s">
        <v>1</v>
      </c>
      <c r="P136" s="50">
        <v>725</v>
      </c>
      <c r="Q136" s="30">
        <v>726.8</v>
      </c>
      <c r="R136" s="33">
        <v>5.8800778200000003</v>
      </c>
      <c r="S136" s="46">
        <f t="shared" si="17"/>
        <v>0.97493036211699169</v>
      </c>
      <c r="T136" s="46">
        <f t="shared" si="18"/>
        <v>1.2256267409470689</v>
      </c>
      <c r="U136" s="50">
        <f>IF($I136&lt;$P136,1,0)</f>
        <v>1</v>
      </c>
      <c r="V136" s="50">
        <f>IF($I136=$P136,1,0)</f>
        <v>0</v>
      </c>
      <c r="W136" s="50">
        <f>IF($I136&gt;$P136,1,0)</f>
        <v>0</v>
      </c>
    </row>
    <row r="137" spans="1:23" x14ac:dyDescent="0.6">
      <c r="A137" s="41" t="s">
        <v>131</v>
      </c>
      <c r="B137" s="50">
        <v>25</v>
      </c>
      <c r="C137" s="25" t="s">
        <v>973</v>
      </c>
      <c r="D137" s="25" t="s">
        <v>976</v>
      </c>
      <c r="E137" s="25" t="s">
        <v>982</v>
      </c>
      <c r="F137" s="50">
        <v>6</v>
      </c>
      <c r="G137" s="50">
        <f t="shared" si="13"/>
        <v>753</v>
      </c>
      <c r="H137" s="57">
        <v>900</v>
      </c>
      <c r="I137" s="32">
        <v>753</v>
      </c>
      <c r="J137" s="32">
        <v>753.6</v>
      </c>
      <c r="K137" s="32">
        <v>2.5099999999999998</v>
      </c>
      <c r="L137" s="46">
        <f t="shared" si="14"/>
        <v>19.52191235059761</v>
      </c>
      <c r="M137" s="46">
        <f t="shared" si="15"/>
        <v>0</v>
      </c>
      <c r="N137" s="46">
        <f t="shared" si="16"/>
        <v>7.9681274900401416E-2</v>
      </c>
      <c r="O137" s="41" t="s">
        <v>1</v>
      </c>
      <c r="P137" s="50">
        <v>758</v>
      </c>
      <c r="Q137" s="30">
        <v>759.2</v>
      </c>
      <c r="R137" s="33">
        <v>6.0730538799999998</v>
      </c>
      <c r="S137" s="46">
        <f t="shared" si="17"/>
        <v>0.66401062416998669</v>
      </c>
      <c r="T137" s="46">
        <f t="shared" si="18"/>
        <v>0.82337317397078946</v>
      </c>
      <c r="U137" s="50">
        <f>IF($I137&lt;$P137,1,0)</f>
        <v>1</v>
      </c>
      <c r="V137" s="50">
        <f>IF($I137=$P137,1,0)</f>
        <v>0</v>
      </c>
      <c r="W137" s="50">
        <f>IF($I137&gt;$P137,1,0)</f>
        <v>0</v>
      </c>
    </row>
    <row r="138" spans="1:23" x14ac:dyDescent="0.6">
      <c r="A138" s="41" t="s">
        <v>132</v>
      </c>
      <c r="B138" s="50">
        <v>25</v>
      </c>
      <c r="C138" s="25" t="s">
        <v>973</v>
      </c>
      <c r="D138" s="25" t="s">
        <v>976</v>
      </c>
      <c r="E138" s="25" t="s">
        <v>982</v>
      </c>
      <c r="F138" s="50">
        <v>7</v>
      </c>
      <c r="G138" s="50">
        <f t="shared" si="13"/>
        <v>741</v>
      </c>
      <c r="H138" s="57">
        <v>921</v>
      </c>
      <c r="I138" s="32">
        <v>741</v>
      </c>
      <c r="J138" s="32">
        <v>741</v>
      </c>
      <c r="K138" s="32">
        <v>2.5</v>
      </c>
      <c r="L138" s="46">
        <f t="shared" si="14"/>
        <v>24.291497975708502</v>
      </c>
      <c r="M138" s="46">
        <f t="shared" si="15"/>
        <v>0</v>
      </c>
      <c r="N138" s="46">
        <f t="shared" si="16"/>
        <v>0</v>
      </c>
      <c r="O138" s="41" t="s">
        <v>1</v>
      </c>
      <c r="P138" s="50">
        <v>745</v>
      </c>
      <c r="Q138" s="30">
        <v>746.2</v>
      </c>
      <c r="R138" s="33">
        <v>6.5412153799999997</v>
      </c>
      <c r="S138" s="46">
        <f t="shared" si="17"/>
        <v>0.53981106612685559</v>
      </c>
      <c r="T138" s="46">
        <f t="shared" si="18"/>
        <v>0.70175438596491846</v>
      </c>
      <c r="U138" s="50">
        <f>IF($I138&lt;$P138,1,0)</f>
        <v>1</v>
      </c>
      <c r="V138" s="50">
        <f>IF($I138=$P138,1,0)</f>
        <v>0</v>
      </c>
      <c r="W138" s="50">
        <f>IF($I138&gt;$P138,1,0)</f>
        <v>0</v>
      </c>
    </row>
    <row r="139" spans="1:23" x14ac:dyDescent="0.6">
      <c r="A139" s="41" t="s">
        <v>133</v>
      </c>
      <c r="B139" s="50">
        <v>25</v>
      </c>
      <c r="C139" s="25" t="s">
        <v>973</v>
      </c>
      <c r="D139" s="25" t="s">
        <v>976</v>
      </c>
      <c r="E139" s="25" t="s">
        <v>982</v>
      </c>
      <c r="F139" s="50">
        <v>8</v>
      </c>
      <c r="G139" s="50">
        <f t="shared" si="13"/>
        <v>741</v>
      </c>
      <c r="H139" s="57">
        <v>929</v>
      </c>
      <c r="I139" s="32">
        <v>741</v>
      </c>
      <c r="J139" s="32">
        <v>742</v>
      </c>
      <c r="K139" s="32">
        <v>2.5099999999999998</v>
      </c>
      <c r="L139" s="46">
        <f t="shared" si="14"/>
        <v>25.371120107962213</v>
      </c>
      <c r="M139" s="46">
        <f t="shared" si="15"/>
        <v>0</v>
      </c>
      <c r="N139" s="46">
        <f t="shared" si="16"/>
        <v>0.1349527665317139</v>
      </c>
      <c r="O139" s="41" t="s">
        <v>1</v>
      </c>
      <c r="P139" s="50">
        <v>748</v>
      </c>
      <c r="Q139" s="30">
        <v>750.6</v>
      </c>
      <c r="R139" s="33">
        <v>5.9543037600000002</v>
      </c>
      <c r="S139" s="46">
        <f t="shared" si="17"/>
        <v>0.94466936572199733</v>
      </c>
      <c r="T139" s="46">
        <f t="shared" si="18"/>
        <v>1.2955465587044566</v>
      </c>
      <c r="U139" s="50">
        <f>IF($I139&lt;$P139,1,0)</f>
        <v>1</v>
      </c>
      <c r="V139" s="50">
        <f>IF($I139=$P139,1,0)</f>
        <v>0</v>
      </c>
      <c r="W139" s="50">
        <f>IF($I139&gt;$P139,1,0)</f>
        <v>0</v>
      </c>
    </row>
    <row r="140" spans="1:23" x14ac:dyDescent="0.6">
      <c r="A140" s="41" t="s">
        <v>134</v>
      </c>
      <c r="B140" s="50">
        <v>25</v>
      </c>
      <c r="C140" s="25" t="s">
        <v>973</v>
      </c>
      <c r="D140" s="25" t="s">
        <v>976</v>
      </c>
      <c r="E140" s="25" t="s">
        <v>982</v>
      </c>
      <c r="F140" s="50">
        <v>9</v>
      </c>
      <c r="G140" s="50">
        <f t="shared" si="13"/>
        <v>730</v>
      </c>
      <c r="H140" s="57">
        <v>894</v>
      </c>
      <c r="I140" s="32">
        <v>730</v>
      </c>
      <c r="J140" s="32">
        <v>730.6</v>
      </c>
      <c r="K140" s="32">
        <v>2.5099999999999998</v>
      </c>
      <c r="L140" s="46">
        <f t="shared" si="14"/>
        <v>22.465753424657535</v>
      </c>
      <c r="M140" s="46">
        <f t="shared" si="15"/>
        <v>0</v>
      </c>
      <c r="N140" s="46">
        <f t="shared" si="16"/>
        <v>8.2191780821920926E-2</v>
      </c>
      <c r="O140" s="41" t="s">
        <v>1</v>
      </c>
      <c r="P140" s="50">
        <v>736</v>
      </c>
      <c r="Q140" s="30">
        <v>739.4</v>
      </c>
      <c r="R140" s="33">
        <v>6.5497179000000001</v>
      </c>
      <c r="S140" s="46">
        <f t="shared" si="17"/>
        <v>0.82191780821917804</v>
      </c>
      <c r="T140" s="46">
        <f t="shared" si="18"/>
        <v>1.2876712328767093</v>
      </c>
      <c r="U140" s="50">
        <f>IF($I140&lt;$P140,1,0)</f>
        <v>1</v>
      </c>
      <c r="V140" s="50">
        <f>IF($I140=$P140,1,0)</f>
        <v>0</v>
      </c>
      <c r="W140" s="50">
        <f>IF($I140&gt;$P140,1,0)</f>
        <v>0</v>
      </c>
    </row>
    <row r="141" spans="1:23" x14ac:dyDescent="0.6">
      <c r="A141" s="41" t="s">
        <v>135</v>
      </c>
      <c r="B141" s="50">
        <v>25</v>
      </c>
      <c r="C141" s="25" t="s">
        <v>973</v>
      </c>
      <c r="D141" s="25" t="s">
        <v>976</v>
      </c>
      <c r="E141" s="25" t="s">
        <v>982</v>
      </c>
      <c r="F141" s="50">
        <v>10</v>
      </c>
      <c r="G141" s="50">
        <f t="shared" si="13"/>
        <v>739</v>
      </c>
      <c r="H141" s="57">
        <v>889</v>
      </c>
      <c r="I141" s="32">
        <v>739</v>
      </c>
      <c r="J141" s="32">
        <v>739</v>
      </c>
      <c r="K141" s="32">
        <v>2.5099999999999998</v>
      </c>
      <c r="L141" s="46">
        <f t="shared" si="14"/>
        <v>20.297699594046009</v>
      </c>
      <c r="M141" s="46">
        <f t="shared" si="15"/>
        <v>0</v>
      </c>
      <c r="N141" s="46">
        <f t="shared" si="16"/>
        <v>0</v>
      </c>
      <c r="O141" s="41" t="s">
        <v>1</v>
      </c>
      <c r="P141" s="50">
        <v>745</v>
      </c>
      <c r="Q141" s="30">
        <v>747.2</v>
      </c>
      <c r="R141" s="33">
        <v>5.7706587599999999</v>
      </c>
      <c r="S141" s="46">
        <f t="shared" si="17"/>
        <v>0.81190798376184026</v>
      </c>
      <c r="T141" s="46">
        <f t="shared" si="18"/>
        <v>1.1096075778078547</v>
      </c>
      <c r="U141" s="50">
        <f>IF($I141&lt;$P141,1,0)</f>
        <v>1</v>
      </c>
      <c r="V141" s="50">
        <f>IF($I141=$P141,1,0)</f>
        <v>0</v>
      </c>
      <c r="W141" s="50">
        <f>IF($I141&gt;$P141,1,0)</f>
        <v>0</v>
      </c>
    </row>
    <row r="142" spans="1:23" x14ac:dyDescent="0.6">
      <c r="A142" s="41" t="s">
        <v>136</v>
      </c>
      <c r="B142" s="50">
        <v>25</v>
      </c>
      <c r="C142" s="25" t="s">
        <v>973</v>
      </c>
      <c r="D142" s="25" t="s">
        <v>979</v>
      </c>
      <c r="E142" s="25" t="s">
        <v>981</v>
      </c>
      <c r="F142" s="50">
        <v>1</v>
      </c>
      <c r="G142" s="50">
        <f t="shared" si="13"/>
        <v>852</v>
      </c>
      <c r="H142" s="57">
        <v>970</v>
      </c>
      <c r="I142" s="32">
        <v>852</v>
      </c>
      <c r="J142" s="32">
        <v>852.2</v>
      </c>
      <c r="K142" s="32">
        <v>2.5099999999999998</v>
      </c>
      <c r="L142" s="46">
        <f t="shared" si="14"/>
        <v>13.849765258215962</v>
      </c>
      <c r="M142" s="46">
        <f t="shared" si="15"/>
        <v>0</v>
      </c>
      <c r="N142" s="46">
        <f t="shared" si="16"/>
        <v>2.3474178403761203E-2</v>
      </c>
      <c r="O142" s="41" t="s">
        <v>1</v>
      </c>
      <c r="P142" s="50">
        <v>855</v>
      </c>
      <c r="Q142" s="30">
        <v>859.4</v>
      </c>
      <c r="R142" s="33">
        <v>5.8510283999999997</v>
      </c>
      <c r="S142" s="46">
        <f t="shared" si="17"/>
        <v>0.35211267605633806</v>
      </c>
      <c r="T142" s="46">
        <f t="shared" si="18"/>
        <v>0.86854460093896446</v>
      </c>
      <c r="U142" s="50">
        <f>IF($I142&lt;$P142,1,0)</f>
        <v>1</v>
      </c>
      <c r="V142" s="50">
        <f>IF($I142=$P142,1,0)</f>
        <v>0</v>
      </c>
      <c r="W142" s="50">
        <f>IF($I142&gt;$P142,1,0)</f>
        <v>0</v>
      </c>
    </row>
    <row r="143" spans="1:23" x14ac:dyDescent="0.6">
      <c r="A143" s="41" t="s">
        <v>137</v>
      </c>
      <c r="B143" s="50">
        <v>25</v>
      </c>
      <c r="C143" s="25" t="s">
        <v>973</v>
      </c>
      <c r="D143" s="25" t="s">
        <v>979</v>
      </c>
      <c r="E143" s="25" t="s">
        <v>983</v>
      </c>
      <c r="F143" s="50">
        <v>2</v>
      </c>
      <c r="G143" s="50">
        <f t="shared" si="13"/>
        <v>835</v>
      </c>
      <c r="H143" s="57">
        <v>881</v>
      </c>
      <c r="I143" s="32">
        <v>835</v>
      </c>
      <c r="J143" s="32">
        <v>835</v>
      </c>
      <c r="K143" s="32">
        <v>2.5099999999999998</v>
      </c>
      <c r="L143" s="46">
        <f t="shared" si="14"/>
        <v>5.5089820359281436</v>
      </c>
      <c r="M143" s="46">
        <f t="shared" si="15"/>
        <v>0</v>
      </c>
      <c r="N143" s="46">
        <f t="shared" si="16"/>
        <v>0</v>
      </c>
      <c r="O143" s="41" t="s">
        <v>1</v>
      </c>
      <c r="P143" s="50">
        <v>841</v>
      </c>
      <c r="Q143" s="30">
        <v>842.6</v>
      </c>
      <c r="R143" s="33">
        <v>5.9291140799999997</v>
      </c>
      <c r="S143" s="46">
        <f t="shared" si="17"/>
        <v>0.71856287425149701</v>
      </c>
      <c r="T143" s="46">
        <f t="shared" si="18"/>
        <v>0.91017964071856561</v>
      </c>
      <c r="U143" s="50">
        <f>IF($I143&lt;$P143,1,0)</f>
        <v>1</v>
      </c>
      <c r="V143" s="50">
        <f>IF($I143=$P143,1,0)</f>
        <v>0</v>
      </c>
      <c r="W143" s="50">
        <f>IF($I143&gt;$P143,1,0)</f>
        <v>0</v>
      </c>
    </row>
    <row r="144" spans="1:23" x14ac:dyDescent="0.6">
      <c r="A144" s="41" t="s">
        <v>138</v>
      </c>
      <c r="B144" s="50">
        <v>25</v>
      </c>
      <c r="C144" s="25" t="s">
        <v>973</v>
      </c>
      <c r="D144" s="25" t="s">
        <v>978</v>
      </c>
      <c r="E144" s="25" t="s">
        <v>980</v>
      </c>
      <c r="F144" s="50">
        <v>3</v>
      </c>
      <c r="G144" s="50">
        <f t="shared" si="13"/>
        <v>848</v>
      </c>
      <c r="H144" s="57">
        <v>933</v>
      </c>
      <c r="I144" s="32">
        <v>848</v>
      </c>
      <c r="J144" s="32">
        <v>848</v>
      </c>
      <c r="K144" s="32">
        <v>2.5099999999999998</v>
      </c>
      <c r="L144" s="46">
        <f t="shared" si="14"/>
        <v>10.023584905660378</v>
      </c>
      <c r="M144" s="46">
        <f t="shared" si="15"/>
        <v>0</v>
      </c>
      <c r="N144" s="46">
        <f t="shared" si="16"/>
        <v>0</v>
      </c>
      <c r="O144" s="41" t="s">
        <v>1</v>
      </c>
      <c r="P144" s="50">
        <v>853</v>
      </c>
      <c r="Q144" s="30">
        <v>855.2</v>
      </c>
      <c r="R144" s="33">
        <v>5.7738306399999999</v>
      </c>
      <c r="S144" s="46">
        <f t="shared" si="17"/>
        <v>0.589622641509434</v>
      </c>
      <c r="T144" s="46">
        <f t="shared" si="18"/>
        <v>0.84905660377359027</v>
      </c>
      <c r="U144" s="50">
        <f>IF($I144&lt;$P144,1,0)</f>
        <v>1</v>
      </c>
      <c r="V144" s="50">
        <f>IF($I144=$P144,1,0)</f>
        <v>0</v>
      </c>
      <c r="W144" s="50">
        <f>IF($I144&gt;$P144,1,0)</f>
        <v>0</v>
      </c>
    </row>
    <row r="145" spans="1:23" x14ac:dyDescent="0.6">
      <c r="A145" s="41" t="s">
        <v>139</v>
      </c>
      <c r="B145" s="50">
        <v>25</v>
      </c>
      <c r="C145" s="25" t="s">
        <v>973</v>
      </c>
      <c r="D145" s="25" t="s">
        <v>978</v>
      </c>
      <c r="E145" s="25" t="s">
        <v>980</v>
      </c>
      <c r="F145" s="50">
        <v>4</v>
      </c>
      <c r="G145" s="50">
        <f t="shared" si="13"/>
        <v>859</v>
      </c>
      <c r="H145" s="57">
        <v>956</v>
      </c>
      <c r="I145" s="32">
        <v>859</v>
      </c>
      <c r="J145" s="32">
        <v>859</v>
      </c>
      <c r="K145" s="32">
        <v>2.5099999999999998</v>
      </c>
      <c r="L145" s="46">
        <f t="shared" si="14"/>
        <v>11.29220023282887</v>
      </c>
      <c r="M145" s="46">
        <f t="shared" si="15"/>
        <v>0</v>
      </c>
      <c r="N145" s="46">
        <f t="shared" si="16"/>
        <v>0</v>
      </c>
      <c r="O145" s="41" t="s">
        <v>1</v>
      </c>
      <c r="P145" s="50">
        <v>866</v>
      </c>
      <c r="Q145" s="30">
        <v>867.2</v>
      </c>
      <c r="R145" s="33">
        <v>6.2820118999999996</v>
      </c>
      <c r="S145" s="46">
        <f t="shared" si="17"/>
        <v>0.81490104772991845</v>
      </c>
      <c r="T145" s="46">
        <f t="shared" si="18"/>
        <v>0.95459837019790994</v>
      </c>
      <c r="U145" s="50">
        <f>IF($I145&lt;$P145,1,0)</f>
        <v>1</v>
      </c>
      <c r="V145" s="50">
        <f>IF($I145=$P145,1,0)</f>
        <v>0</v>
      </c>
      <c r="W145" s="50">
        <f>IF($I145&gt;$P145,1,0)</f>
        <v>0</v>
      </c>
    </row>
    <row r="146" spans="1:23" x14ac:dyDescent="0.6">
      <c r="A146" s="41" t="s">
        <v>140</v>
      </c>
      <c r="B146" s="50">
        <v>25</v>
      </c>
      <c r="C146" s="25" t="s">
        <v>973</v>
      </c>
      <c r="D146" s="25" t="s">
        <v>978</v>
      </c>
      <c r="E146" s="25" t="s">
        <v>980</v>
      </c>
      <c r="F146" s="50">
        <v>5</v>
      </c>
      <c r="G146" s="50">
        <f t="shared" si="13"/>
        <v>838</v>
      </c>
      <c r="H146" s="57">
        <v>949</v>
      </c>
      <c r="I146" s="32">
        <v>838</v>
      </c>
      <c r="J146" s="32">
        <v>838.2</v>
      </c>
      <c r="K146" s="32">
        <v>2.5099999999999998</v>
      </c>
      <c r="L146" s="46">
        <f t="shared" si="14"/>
        <v>13.24582338902148</v>
      </c>
      <c r="M146" s="46">
        <f t="shared" si="15"/>
        <v>0</v>
      </c>
      <c r="N146" s="46">
        <f t="shared" si="16"/>
        <v>2.3866348448692776E-2</v>
      </c>
      <c r="O146" s="41" t="s">
        <v>1</v>
      </c>
      <c r="P146" s="50">
        <v>843</v>
      </c>
      <c r="Q146" s="30">
        <v>846.6</v>
      </c>
      <c r="R146" s="33">
        <v>6.0731882400000003</v>
      </c>
      <c r="S146" s="46">
        <f t="shared" si="17"/>
        <v>0.59665871121718372</v>
      </c>
      <c r="T146" s="46">
        <f t="shared" si="18"/>
        <v>1.0262529832935587</v>
      </c>
      <c r="U146" s="50">
        <f>IF($I146&lt;$P146,1,0)</f>
        <v>1</v>
      </c>
      <c r="V146" s="50">
        <f>IF($I146=$P146,1,0)</f>
        <v>0</v>
      </c>
      <c r="W146" s="50">
        <f>IF($I146&gt;$P146,1,0)</f>
        <v>0</v>
      </c>
    </row>
    <row r="147" spans="1:23" x14ac:dyDescent="0.6">
      <c r="A147" s="41" t="s">
        <v>141</v>
      </c>
      <c r="B147" s="50">
        <v>25</v>
      </c>
      <c r="C147" s="25" t="s">
        <v>973</v>
      </c>
      <c r="D147" s="25" t="s">
        <v>978</v>
      </c>
      <c r="E147" s="25" t="s">
        <v>980</v>
      </c>
      <c r="F147" s="50">
        <v>6</v>
      </c>
      <c r="G147" s="50">
        <f t="shared" si="13"/>
        <v>873</v>
      </c>
      <c r="H147" s="57">
        <v>942</v>
      </c>
      <c r="I147" s="32">
        <v>873</v>
      </c>
      <c r="J147" s="32">
        <v>873.6</v>
      </c>
      <c r="K147" s="32">
        <v>2.5</v>
      </c>
      <c r="L147" s="46">
        <f t="shared" si="14"/>
        <v>7.9037800687285218</v>
      </c>
      <c r="M147" s="46">
        <f t="shared" si="15"/>
        <v>0</v>
      </c>
      <c r="N147" s="46">
        <f t="shared" si="16"/>
        <v>6.872852233677236E-2</v>
      </c>
      <c r="O147" s="41" t="s">
        <v>1</v>
      </c>
      <c r="P147" s="50">
        <v>878</v>
      </c>
      <c r="Q147" s="30">
        <v>881</v>
      </c>
      <c r="R147" s="33">
        <v>5.8901154599999996</v>
      </c>
      <c r="S147" s="46">
        <f t="shared" si="17"/>
        <v>0.57273768613974796</v>
      </c>
      <c r="T147" s="46">
        <f t="shared" si="18"/>
        <v>0.91638029782359687</v>
      </c>
      <c r="U147" s="50">
        <f>IF($I147&lt;$P147,1,0)</f>
        <v>1</v>
      </c>
      <c r="V147" s="50">
        <f>IF($I147=$P147,1,0)</f>
        <v>0</v>
      </c>
      <c r="W147" s="50">
        <f>IF($I147&gt;$P147,1,0)</f>
        <v>0</v>
      </c>
    </row>
    <row r="148" spans="1:23" x14ac:dyDescent="0.6">
      <c r="A148" s="41" t="s">
        <v>142</v>
      </c>
      <c r="B148" s="50">
        <v>25</v>
      </c>
      <c r="C148" s="25" t="s">
        <v>973</v>
      </c>
      <c r="D148" s="25" t="s">
        <v>978</v>
      </c>
      <c r="E148" s="25" t="s">
        <v>980</v>
      </c>
      <c r="F148" s="50">
        <v>7</v>
      </c>
      <c r="G148" s="50">
        <f t="shared" si="13"/>
        <v>860</v>
      </c>
      <c r="H148" s="57">
        <v>941</v>
      </c>
      <c r="I148" s="32">
        <v>860</v>
      </c>
      <c r="J148" s="32">
        <v>860.6</v>
      </c>
      <c r="K148" s="32">
        <v>2.5</v>
      </c>
      <c r="L148" s="46">
        <f t="shared" si="14"/>
        <v>9.4186046511627897</v>
      </c>
      <c r="M148" s="46">
        <f t="shared" si="15"/>
        <v>0</v>
      </c>
      <c r="N148" s="46">
        <f t="shared" si="16"/>
        <v>6.9767441860467766E-2</v>
      </c>
      <c r="O148" s="41" t="s">
        <v>1</v>
      </c>
      <c r="P148" s="50">
        <v>866</v>
      </c>
      <c r="Q148" s="30">
        <v>868.8</v>
      </c>
      <c r="R148" s="33">
        <v>6.3808872799999996</v>
      </c>
      <c r="S148" s="46">
        <f t="shared" si="17"/>
        <v>0.69767441860465118</v>
      </c>
      <c r="T148" s="46">
        <f t="shared" si="18"/>
        <v>1.0232558139534831</v>
      </c>
      <c r="U148" s="50">
        <f>IF($I148&lt;$P148,1,0)</f>
        <v>1</v>
      </c>
      <c r="V148" s="50">
        <f>IF($I148=$P148,1,0)</f>
        <v>0</v>
      </c>
      <c r="W148" s="50">
        <f>IF($I148&gt;$P148,1,0)</f>
        <v>0</v>
      </c>
    </row>
    <row r="149" spans="1:23" x14ac:dyDescent="0.6">
      <c r="A149" s="41" t="s">
        <v>403</v>
      </c>
      <c r="B149" s="50">
        <v>25</v>
      </c>
      <c r="C149" s="25" t="s">
        <v>973</v>
      </c>
      <c r="D149" s="25" t="s">
        <v>978</v>
      </c>
      <c r="E149" s="25" t="s">
        <v>980</v>
      </c>
      <c r="F149" s="50">
        <v>8</v>
      </c>
      <c r="G149" s="50">
        <f t="shared" si="13"/>
        <v>861</v>
      </c>
      <c r="H149" s="57">
        <v>949</v>
      </c>
      <c r="I149" s="32">
        <v>861</v>
      </c>
      <c r="J149" s="32">
        <v>862</v>
      </c>
      <c r="K149" s="32">
        <v>2.5099999999999998</v>
      </c>
      <c r="L149" s="46">
        <f t="shared" si="14"/>
        <v>10.220673635307783</v>
      </c>
      <c r="M149" s="46">
        <f t="shared" si="15"/>
        <v>0</v>
      </c>
      <c r="N149" s="46">
        <f t="shared" si="16"/>
        <v>0.11614401858304298</v>
      </c>
      <c r="O149" s="41" t="s">
        <v>1</v>
      </c>
      <c r="P149" s="50">
        <v>867</v>
      </c>
      <c r="Q149" s="30">
        <v>869.2</v>
      </c>
      <c r="R149" s="33">
        <v>6.0259037800000002</v>
      </c>
      <c r="S149" s="46">
        <f t="shared" si="17"/>
        <v>0.69686411149825789</v>
      </c>
      <c r="T149" s="46">
        <f t="shared" si="18"/>
        <v>0.95238095238095766</v>
      </c>
      <c r="U149" s="50">
        <f>IF($I149&lt;$P149,1,0)</f>
        <v>1</v>
      </c>
      <c r="V149" s="50">
        <f>IF($I149=$P149,1,0)</f>
        <v>0</v>
      </c>
      <c r="W149" s="50">
        <f>IF($I149&gt;$P149,1,0)</f>
        <v>0</v>
      </c>
    </row>
    <row r="150" spans="1:23" x14ac:dyDescent="0.6">
      <c r="A150" s="41" t="s">
        <v>143</v>
      </c>
      <c r="B150" s="50">
        <v>25</v>
      </c>
      <c r="C150" s="25" t="s">
        <v>973</v>
      </c>
      <c r="D150" s="25" t="s">
        <v>978</v>
      </c>
      <c r="E150" s="25" t="s">
        <v>980</v>
      </c>
      <c r="F150" s="50">
        <v>9</v>
      </c>
      <c r="G150" s="50">
        <f t="shared" si="13"/>
        <v>850</v>
      </c>
      <c r="H150" s="57">
        <v>918</v>
      </c>
      <c r="I150" s="32">
        <v>850</v>
      </c>
      <c r="J150" s="32">
        <v>850.6</v>
      </c>
      <c r="K150" s="32">
        <v>2.5</v>
      </c>
      <c r="L150" s="46">
        <f t="shared" si="14"/>
        <v>8</v>
      </c>
      <c r="M150" s="46">
        <f t="shared" si="15"/>
        <v>0</v>
      </c>
      <c r="N150" s="46">
        <f t="shared" si="16"/>
        <v>7.0588235294120324E-2</v>
      </c>
      <c r="O150" s="41" t="s">
        <v>1</v>
      </c>
      <c r="P150" s="50">
        <v>855</v>
      </c>
      <c r="Q150" s="30">
        <v>858</v>
      </c>
      <c r="R150" s="33">
        <v>6.4250086599999996</v>
      </c>
      <c r="S150" s="46">
        <f t="shared" si="17"/>
        <v>0.58823529411764708</v>
      </c>
      <c r="T150" s="46">
        <f t="shared" si="18"/>
        <v>0.94117647058823517</v>
      </c>
      <c r="U150" s="50">
        <f>IF($I150&lt;$P150,1,0)</f>
        <v>1</v>
      </c>
      <c r="V150" s="50">
        <f>IF($I150=$P150,1,0)</f>
        <v>0</v>
      </c>
      <c r="W150" s="50">
        <f>IF($I150&gt;$P150,1,0)</f>
        <v>0</v>
      </c>
    </row>
    <row r="151" spans="1:23" x14ac:dyDescent="0.6">
      <c r="A151" s="41" t="s">
        <v>144</v>
      </c>
      <c r="B151" s="50">
        <v>25</v>
      </c>
      <c r="C151" s="25" t="s">
        <v>973</v>
      </c>
      <c r="D151" s="25" t="s">
        <v>978</v>
      </c>
      <c r="E151" s="25" t="s">
        <v>980</v>
      </c>
      <c r="F151" s="50">
        <v>10</v>
      </c>
      <c r="G151" s="50">
        <f t="shared" si="13"/>
        <v>859</v>
      </c>
      <c r="H151" s="57">
        <v>934</v>
      </c>
      <c r="I151" s="32">
        <v>859</v>
      </c>
      <c r="J151" s="32">
        <v>859</v>
      </c>
      <c r="K151" s="32">
        <v>2.5099999999999998</v>
      </c>
      <c r="L151" s="46">
        <f t="shared" si="14"/>
        <v>8.7310826542491267</v>
      </c>
      <c r="M151" s="46">
        <f t="shared" si="15"/>
        <v>0</v>
      </c>
      <c r="N151" s="46">
        <f t="shared" si="16"/>
        <v>0</v>
      </c>
      <c r="O151" s="41" t="s">
        <v>1</v>
      </c>
      <c r="P151" s="50">
        <v>865</v>
      </c>
      <c r="Q151" s="30">
        <v>866.2</v>
      </c>
      <c r="R151" s="33">
        <v>5.8659619999999997</v>
      </c>
      <c r="S151" s="46">
        <f t="shared" si="17"/>
        <v>0.69848661233993015</v>
      </c>
      <c r="T151" s="46">
        <f t="shared" si="18"/>
        <v>0.83818393480792153</v>
      </c>
      <c r="U151" s="50">
        <f>IF($I151&lt;$P151,1,0)</f>
        <v>1</v>
      </c>
      <c r="V151" s="50">
        <f>IF($I151=$P151,1,0)</f>
        <v>0</v>
      </c>
      <c r="W151" s="50">
        <f>IF($I151&gt;$P151,1,0)</f>
        <v>0</v>
      </c>
    </row>
    <row r="152" spans="1:23" x14ac:dyDescent="0.6">
      <c r="A152" s="41" t="s">
        <v>145</v>
      </c>
      <c r="B152" s="50">
        <v>25</v>
      </c>
      <c r="C152" s="25" t="s">
        <v>973</v>
      </c>
      <c r="D152" s="25" t="s">
        <v>978</v>
      </c>
      <c r="E152" s="25" t="s">
        <v>984</v>
      </c>
      <c r="F152" s="50">
        <v>1</v>
      </c>
      <c r="G152" s="50">
        <f t="shared" si="13"/>
        <v>852</v>
      </c>
      <c r="H152" s="57">
        <v>1074</v>
      </c>
      <c r="I152" s="32">
        <v>852</v>
      </c>
      <c r="J152" s="32">
        <v>852.2</v>
      </c>
      <c r="K152" s="32">
        <v>2.5099999999999998</v>
      </c>
      <c r="L152" s="46">
        <f t="shared" si="14"/>
        <v>26.056338028169012</v>
      </c>
      <c r="M152" s="46">
        <f t="shared" si="15"/>
        <v>0</v>
      </c>
      <c r="N152" s="46">
        <f t="shared" si="16"/>
        <v>2.3474178403761203E-2</v>
      </c>
      <c r="O152" s="41" t="s">
        <v>1</v>
      </c>
      <c r="P152" s="50">
        <v>858</v>
      </c>
      <c r="Q152" s="30">
        <v>859.8</v>
      </c>
      <c r="R152" s="33">
        <v>5.89622314</v>
      </c>
      <c r="S152" s="46">
        <f t="shared" si="17"/>
        <v>0.70422535211267612</v>
      </c>
      <c r="T152" s="46">
        <f t="shared" si="18"/>
        <v>0.91549295774647343</v>
      </c>
      <c r="U152" s="50">
        <f>IF($I152&lt;$P152,1,0)</f>
        <v>1</v>
      </c>
      <c r="V152" s="50">
        <f>IF($I152=$P152,1,0)</f>
        <v>0</v>
      </c>
      <c r="W152" s="50">
        <f>IF($I152&gt;$P152,1,0)</f>
        <v>0</v>
      </c>
    </row>
    <row r="153" spans="1:23" x14ac:dyDescent="0.6">
      <c r="A153" s="41" t="s">
        <v>146</v>
      </c>
      <c r="B153" s="50">
        <v>25</v>
      </c>
      <c r="C153" s="25" t="s">
        <v>973</v>
      </c>
      <c r="D153" s="25" t="s">
        <v>978</v>
      </c>
      <c r="E153" s="25" t="s">
        <v>984</v>
      </c>
      <c r="F153" s="50">
        <v>2</v>
      </c>
      <c r="G153" s="50">
        <f t="shared" si="13"/>
        <v>834</v>
      </c>
      <c r="H153" s="57">
        <v>901</v>
      </c>
      <c r="I153" s="32">
        <v>834</v>
      </c>
      <c r="J153" s="32">
        <v>834.8</v>
      </c>
      <c r="K153" s="32">
        <v>2.5</v>
      </c>
      <c r="L153" s="46">
        <f t="shared" si="14"/>
        <v>8.0335731414868103</v>
      </c>
      <c r="M153" s="46">
        <f t="shared" si="15"/>
        <v>0</v>
      </c>
      <c r="N153" s="46">
        <f t="shared" si="16"/>
        <v>9.5923261390881837E-2</v>
      </c>
      <c r="O153" s="41" t="s">
        <v>1</v>
      </c>
      <c r="P153" s="50">
        <v>838</v>
      </c>
      <c r="Q153" s="30">
        <v>842.6</v>
      </c>
      <c r="R153" s="33">
        <v>6.0113097</v>
      </c>
      <c r="S153" s="46">
        <f t="shared" si="17"/>
        <v>0.47961630695443641</v>
      </c>
      <c r="T153" s="46">
        <f t="shared" si="18"/>
        <v>1.0311750599520411</v>
      </c>
      <c r="U153" s="50">
        <f>IF($I153&lt;$P153,1,0)</f>
        <v>1</v>
      </c>
      <c r="V153" s="50">
        <f>IF($I153=$P153,1,0)</f>
        <v>0</v>
      </c>
      <c r="W153" s="50">
        <f>IF($I153&gt;$P153,1,0)</f>
        <v>0</v>
      </c>
    </row>
    <row r="154" spans="1:23" x14ac:dyDescent="0.6">
      <c r="A154" s="41" t="s">
        <v>147</v>
      </c>
      <c r="B154" s="50">
        <v>25</v>
      </c>
      <c r="C154" s="25" t="s">
        <v>973</v>
      </c>
      <c r="D154" s="25" t="s">
        <v>978</v>
      </c>
      <c r="E154" s="25" t="s">
        <v>982</v>
      </c>
      <c r="F154" s="50">
        <v>3</v>
      </c>
      <c r="G154" s="50">
        <f t="shared" si="13"/>
        <v>848</v>
      </c>
      <c r="H154" s="57">
        <v>1000</v>
      </c>
      <c r="I154" s="32">
        <v>848</v>
      </c>
      <c r="J154" s="32">
        <v>848</v>
      </c>
      <c r="K154" s="32">
        <v>2.5099999999999998</v>
      </c>
      <c r="L154" s="46">
        <f t="shared" si="14"/>
        <v>17.924528301886792</v>
      </c>
      <c r="M154" s="46">
        <f t="shared" si="15"/>
        <v>0</v>
      </c>
      <c r="N154" s="46">
        <f t="shared" si="16"/>
        <v>0</v>
      </c>
      <c r="O154" s="41" t="s">
        <v>1</v>
      </c>
      <c r="P154" s="50">
        <v>853</v>
      </c>
      <c r="Q154" s="30">
        <v>855.4</v>
      </c>
      <c r="R154" s="33">
        <v>6.0768755199999998</v>
      </c>
      <c r="S154" s="46">
        <f t="shared" si="17"/>
        <v>0.589622641509434</v>
      </c>
      <c r="T154" s="46">
        <f t="shared" si="18"/>
        <v>0.87264150943395968</v>
      </c>
      <c r="U154" s="50">
        <f>IF($I154&lt;$P154,1,0)</f>
        <v>1</v>
      </c>
      <c r="V154" s="50">
        <f>IF($I154=$P154,1,0)</f>
        <v>0</v>
      </c>
      <c r="W154" s="50">
        <f>IF($I154&gt;$P154,1,0)</f>
        <v>0</v>
      </c>
    </row>
    <row r="155" spans="1:23" x14ac:dyDescent="0.6">
      <c r="A155" s="41" t="s">
        <v>148</v>
      </c>
      <c r="B155" s="50">
        <v>25</v>
      </c>
      <c r="C155" s="25" t="s">
        <v>973</v>
      </c>
      <c r="D155" s="25" t="s">
        <v>978</v>
      </c>
      <c r="E155" s="25" t="s">
        <v>982</v>
      </c>
      <c r="F155" s="50">
        <v>4</v>
      </c>
      <c r="G155" s="50">
        <f t="shared" si="13"/>
        <v>859</v>
      </c>
      <c r="H155" s="57">
        <v>1036</v>
      </c>
      <c r="I155" s="32">
        <v>859</v>
      </c>
      <c r="J155" s="32">
        <v>859</v>
      </c>
      <c r="K155" s="32">
        <v>2.5099999999999998</v>
      </c>
      <c r="L155" s="46">
        <f t="shared" si="14"/>
        <v>20.60535506402794</v>
      </c>
      <c r="M155" s="46">
        <f t="shared" si="15"/>
        <v>0</v>
      </c>
      <c r="N155" s="46">
        <f t="shared" si="16"/>
        <v>0</v>
      </c>
      <c r="O155" s="41" t="s">
        <v>1</v>
      </c>
      <c r="P155" s="50">
        <v>866</v>
      </c>
      <c r="Q155" s="30">
        <v>867.8</v>
      </c>
      <c r="R155" s="33">
        <v>6.0505439799999996</v>
      </c>
      <c r="S155" s="46">
        <f t="shared" si="17"/>
        <v>0.81490104772991845</v>
      </c>
      <c r="T155" s="46">
        <f t="shared" si="18"/>
        <v>1.0244470314318921</v>
      </c>
      <c r="U155" s="50">
        <f>IF($I155&lt;$P155,1,0)</f>
        <v>1</v>
      </c>
      <c r="V155" s="50">
        <f>IF($I155=$P155,1,0)</f>
        <v>0</v>
      </c>
      <c r="W155" s="50">
        <f>IF($I155&gt;$P155,1,0)</f>
        <v>0</v>
      </c>
    </row>
    <row r="156" spans="1:23" x14ac:dyDescent="0.6">
      <c r="A156" s="41" t="s">
        <v>149</v>
      </c>
      <c r="B156" s="50">
        <v>25</v>
      </c>
      <c r="C156" s="25" t="s">
        <v>973</v>
      </c>
      <c r="D156" s="25" t="s">
        <v>978</v>
      </c>
      <c r="E156" s="25" t="s">
        <v>982</v>
      </c>
      <c r="F156" s="50">
        <v>5</v>
      </c>
      <c r="G156" s="50">
        <f t="shared" si="13"/>
        <v>838</v>
      </c>
      <c r="H156" s="57">
        <v>1029</v>
      </c>
      <c r="I156" s="32">
        <v>838</v>
      </c>
      <c r="J156" s="32">
        <v>838.2</v>
      </c>
      <c r="K156" s="32">
        <v>2.5099999999999998</v>
      </c>
      <c r="L156" s="46">
        <f t="shared" si="14"/>
        <v>22.792362768496421</v>
      </c>
      <c r="M156" s="46">
        <f t="shared" si="15"/>
        <v>0</v>
      </c>
      <c r="N156" s="46">
        <f t="shared" si="16"/>
        <v>2.3866348448692776E-2</v>
      </c>
      <c r="O156" s="41" t="s">
        <v>1</v>
      </c>
      <c r="P156" s="50">
        <v>843</v>
      </c>
      <c r="Q156" s="30">
        <v>846.6</v>
      </c>
      <c r="R156" s="33">
        <v>6.0083774999999999</v>
      </c>
      <c r="S156" s="46">
        <f t="shared" si="17"/>
        <v>0.59665871121718372</v>
      </c>
      <c r="T156" s="46">
        <f t="shared" si="18"/>
        <v>1.0262529832935587</v>
      </c>
      <c r="U156" s="50">
        <f>IF($I156&lt;$P156,1,0)</f>
        <v>1</v>
      </c>
      <c r="V156" s="50">
        <f>IF($I156=$P156,1,0)</f>
        <v>0</v>
      </c>
      <c r="W156" s="50">
        <f>IF($I156&gt;$P156,1,0)</f>
        <v>0</v>
      </c>
    </row>
    <row r="157" spans="1:23" x14ac:dyDescent="0.6">
      <c r="A157" s="41" t="s">
        <v>150</v>
      </c>
      <c r="B157" s="50">
        <v>25</v>
      </c>
      <c r="C157" s="25" t="s">
        <v>973</v>
      </c>
      <c r="D157" s="25" t="s">
        <v>978</v>
      </c>
      <c r="E157" s="25" t="s">
        <v>982</v>
      </c>
      <c r="F157" s="50">
        <v>6</v>
      </c>
      <c r="G157" s="50">
        <f t="shared" si="13"/>
        <v>873</v>
      </c>
      <c r="H157" s="57">
        <v>1002</v>
      </c>
      <c r="I157" s="32">
        <v>873</v>
      </c>
      <c r="J157" s="32">
        <v>873.4</v>
      </c>
      <c r="K157" s="32">
        <v>2.5</v>
      </c>
      <c r="L157" s="46">
        <f t="shared" si="14"/>
        <v>14.776632302405499</v>
      </c>
      <c r="M157" s="46">
        <f t="shared" si="15"/>
        <v>0</v>
      </c>
      <c r="N157" s="46">
        <f t="shared" si="16"/>
        <v>4.5819014891177234E-2</v>
      </c>
      <c r="O157" s="41" t="s">
        <v>1</v>
      </c>
      <c r="P157" s="50">
        <v>878</v>
      </c>
      <c r="Q157" s="30">
        <v>879.8</v>
      </c>
      <c r="R157" s="33">
        <v>5.8911936799999998</v>
      </c>
      <c r="S157" s="46">
        <f t="shared" si="17"/>
        <v>0.57273768613974796</v>
      </c>
      <c r="T157" s="46">
        <f t="shared" si="18"/>
        <v>0.77892325315005206</v>
      </c>
      <c r="U157" s="50">
        <f>IF($I157&lt;$P157,1,0)</f>
        <v>1</v>
      </c>
      <c r="V157" s="50">
        <f>IF($I157=$P157,1,0)</f>
        <v>0</v>
      </c>
      <c r="W157" s="50">
        <f>IF($I157&gt;$P157,1,0)</f>
        <v>0</v>
      </c>
    </row>
    <row r="158" spans="1:23" x14ac:dyDescent="0.6">
      <c r="A158" s="41" t="s">
        <v>151</v>
      </c>
      <c r="B158" s="50">
        <v>25</v>
      </c>
      <c r="C158" s="25" t="s">
        <v>973</v>
      </c>
      <c r="D158" s="25" t="s">
        <v>978</v>
      </c>
      <c r="E158" s="25" t="s">
        <v>982</v>
      </c>
      <c r="F158" s="50">
        <v>7</v>
      </c>
      <c r="G158" s="50">
        <f t="shared" si="13"/>
        <v>860</v>
      </c>
      <c r="H158" s="57">
        <v>1021</v>
      </c>
      <c r="I158" s="32">
        <v>860</v>
      </c>
      <c r="J158" s="32">
        <v>860.8</v>
      </c>
      <c r="K158" s="32">
        <v>2.5</v>
      </c>
      <c r="L158" s="46">
        <f t="shared" si="14"/>
        <v>18.720930232558139</v>
      </c>
      <c r="M158" s="46">
        <f t="shared" si="15"/>
        <v>0</v>
      </c>
      <c r="N158" s="46">
        <f t="shared" si="16"/>
        <v>9.30232558139482E-2</v>
      </c>
      <c r="O158" s="41" t="s">
        <v>1</v>
      </c>
      <c r="P158" s="50">
        <v>864</v>
      </c>
      <c r="Q158" s="30">
        <v>865.8</v>
      </c>
      <c r="R158" s="33">
        <v>6.4875499000000003</v>
      </c>
      <c r="S158" s="46">
        <f t="shared" si="17"/>
        <v>0.46511627906976744</v>
      </c>
      <c r="T158" s="46">
        <f t="shared" si="18"/>
        <v>0.67441860465115755</v>
      </c>
      <c r="U158" s="50">
        <f>IF($I158&lt;$P158,1,0)</f>
        <v>1</v>
      </c>
      <c r="V158" s="50">
        <f>IF($I158=$P158,1,0)</f>
        <v>0</v>
      </c>
      <c r="W158" s="50">
        <f>IF($I158&gt;$P158,1,0)</f>
        <v>0</v>
      </c>
    </row>
    <row r="159" spans="1:23" x14ac:dyDescent="0.6">
      <c r="A159" s="41" t="s">
        <v>152</v>
      </c>
      <c r="B159" s="50">
        <v>25</v>
      </c>
      <c r="C159" s="25" t="s">
        <v>973</v>
      </c>
      <c r="D159" s="25" t="s">
        <v>978</v>
      </c>
      <c r="E159" s="25" t="s">
        <v>982</v>
      </c>
      <c r="F159" s="50">
        <v>8</v>
      </c>
      <c r="G159" s="50">
        <f t="shared" si="13"/>
        <v>862</v>
      </c>
      <c r="H159" s="57">
        <v>1029</v>
      </c>
      <c r="I159" s="32">
        <v>862</v>
      </c>
      <c r="J159" s="32">
        <v>862.4</v>
      </c>
      <c r="K159" s="32">
        <v>2.5099999999999998</v>
      </c>
      <c r="L159" s="46">
        <f t="shared" si="14"/>
        <v>19.373549883990719</v>
      </c>
      <c r="M159" s="46">
        <f t="shared" si="15"/>
        <v>0</v>
      </c>
      <c r="N159" s="46">
        <f t="shared" si="16"/>
        <v>4.640371229698112E-2</v>
      </c>
      <c r="O159" s="41" t="s">
        <v>1</v>
      </c>
      <c r="P159" s="50">
        <v>867</v>
      </c>
      <c r="Q159" s="30">
        <v>867.8</v>
      </c>
      <c r="R159" s="33">
        <v>6.0515309999999998</v>
      </c>
      <c r="S159" s="46">
        <f t="shared" si="17"/>
        <v>0.58004640371229699</v>
      </c>
      <c r="T159" s="46">
        <f t="shared" si="18"/>
        <v>0.67285382830625928</v>
      </c>
      <c r="U159" s="50">
        <f>IF($I159&lt;$P159,1,0)</f>
        <v>1</v>
      </c>
      <c r="V159" s="50">
        <f>IF($I159=$P159,1,0)</f>
        <v>0</v>
      </c>
      <c r="W159" s="50">
        <f>IF($I159&gt;$P159,1,0)</f>
        <v>0</v>
      </c>
    </row>
    <row r="160" spans="1:23" x14ac:dyDescent="0.6">
      <c r="A160" s="41" t="s">
        <v>153</v>
      </c>
      <c r="B160" s="50">
        <v>25</v>
      </c>
      <c r="C160" s="25" t="s">
        <v>973</v>
      </c>
      <c r="D160" s="25" t="s">
        <v>978</v>
      </c>
      <c r="E160" s="25" t="s">
        <v>982</v>
      </c>
      <c r="F160" s="50">
        <v>9</v>
      </c>
      <c r="G160" s="50">
        <f t="shared" si="13"/>
        <v>850</v>
      </c>
      <c r="H160" s="57">
        <v>989</v>
      </c>
      <c r="I160" s="32">
        <v>850</v>
      </c>
      <c r="J160" s="32">
        <v>850.8</v>
      </c>
      <c r="K160" s="32">
        <v>2.5099999999999998</v>
      </c>
      <c r="L160" s="46">
        <f t="shared" si="14"/>
        <v>16.352941176470591</v>
      </c>
      <c r="M160" s="46">
        <f t="shared" si="15"/>
        <v>0</v>
      </c>
      <c r="N160" s="46">
        <f t="shared" si="16"/>
        <v>9.4117647058818171E-2</v>
      </c>
      <c r="O160" s="41" t="s">
        <v>1</v>
      </c>
      <c r="P160" s="50">
        <v>853</v>
      </c>
      <c r="Q160" s="30">
        <v>858.2</v>
      </c>
      <c r="R160" s="33">
        <v>6.62356576</v>
      </c>
      <c r="S160" s="46">
        <f t="shared" si="17"/>
        <v>0.35294117647058826</v>
      </c>
      <c r="T160" s="46">
        <f t="shared" si="18"/>
        <v>0.96470588235294652</v>
      </c>
      <c r="U160" s="50">
        <f>IF($I160&lt;$P160,1,0)</f>
        <v>1</v>
      </c>
      <c r="V160" s="50">
        <f>IF($I160=$P160,1,0)</f>
        <v>0</v>
      </c>
      <c r="W160" s="50">
        <f>IF($I160&gt;$P160,1,0)</f>
        <v>0</v>
      </c>
    </row>
    <row r="161" spans="1:23" x14ac:dyDescent="0.6">
      <c r="A161" s="41" t="s">
        <v>154</v>
      </c>
      <c r="B161" s="50">
        <v>25</v>
      </c>
      <c r="C161" s="25" t="s">
        <v>973</v>
      </c>
      <c r="D161" s="25" t="s">
        <v>978</v>
      </c>
      <c r="E161" s="25" t="s">
        <v>982</v>
      </c>
      <c r="F161" s="50">
        <v>10</v>
      </c>
      <c r="G161" s="50">
        <f t="shared" si="13"/>
        <v>859</v>
      </c>
      <c r="H161" s="57">
        <v>994</v>
      </c>
      <c r="I161" s="32">
        <v>859</v>
      </c>
      <c r="J161" s="32">
        <v>859</v>
      </c>
      <c r="K161" s="32">
        <v>2.5099999999999998</v>
      </c>
      <c r="L161" s="46">
        <f t="shared" si="14"/>
        <v>15.715948777648428</v>
      </c>
      <c r="M161" s="46">
        <f t="shared" si="15"/>
        <v>0</v>
      </c>
      <c r="N161" s="46">
        <f t="shared" si="16"/>
        <v>0</v>
      </c>
      <c r="O161" s="41" t="s">
        <v>1</v>
      </c>
      <c r="P161" s="50">
        <v>864</v>
      </c>
      <c r="Q161" s="30">
        <v>865.4</v>
      </c>
      <c r="R161" s="33">
        <v>5.7229477800000002</v>
      </c>
      <c r="S161" s="46">
        <f t="shared" si="17"/>
        <v>0.58207217694994184</v>
      </c>
      <c r="T161" s="46">
        <f t="shared" si="18"/>
        <v>0.74505238649592276</v>
      </c>
      <c r="U161" s="50">
        <f>IF($I161&lt;$P161,1,0)</f>
        <v>1</v>
      </c>
      <c r="V161" s="50">
        <f>IF($I161=$P161,1,0)</f>
        <v>0</v>
      </c>
      <c r="W161" s="50">
        <f>IF($I161&gt;$P161,1,0)</f>
        <v>0</v>
      </c>
    </row>
    <row r="162" spans="1:23" x14ac:dyDescent="0.6">
      <c r="A162" s="41" t="s">
        <v>155</v>
      </c>
      <c r="B162" s="50">
        <v>50</v>
      </c>
      <c r="C162" s="51" t="s">
        <v>971</v>
      </c>
      <c r="D162" s="25" t="s">
        <v>977</v>
      </c>
      <c r="E162" s="25" t="s">
        <v>981</v>
      </c>
      <c r="F162" s="50">
        <v>1</v>
      </c>
      <c r="G162" s="50">
        <f t="shared" si="13"/>
        <v>984</v>
      </c>
      <c r="H162" s="57">
        <v>1195</v>
      </c>
      <c r="I162" s="32">
        <v>984</v>
      </c>
      <c r="J162" s="32">
        <v>984</v>
      </c>
      <c r="K162" s="32">
        <v>5.01</v>
      </c>
      <c r="L162" s="46">
        <f t="shared" si="14"/>
        <v>21.443089430894307</v>
      </c>
      <c r="M162" s="46">
        <f t="shared" si="15"/>
        <v>0</v>
      </c>
      <c r="N162" s="46">
        <f t="shared" si="16"/>
        <v>0</v>
      </c>
      <c r="O162" s="41" t="s">
        <v>1</v>
      </c>
      <c r="P162" s="50">
        <v>997</v>
      </c>
      <c r="Q162" s="30">
        <v>998.8</v>
      </c>
      <c r="R162" s="33">
        <v>14.5123351</v>
      </c>
      <c r="S162" s="46">
        <f t="shared" si="17"/>
        <v>1.321138211382114</v>
      </c>
      <c r="T162" s="46">
        <f t="shared" si="18"/>
        <v>1.5040650406504019</v>
      </c>
      <c r="U162" s="50">
        <f>IF($I162&lt;$P162,1,0)</f>
        <v>1</v>
      </c>
      <c r="V162" s="50">
        <f>IF($I162=$P162,1,0)</f>
        <v>0</v>
      </c>
      <c r="W162" s="50">
        <f>IF($I162&gt;$P162,1,0)</f>
        <v>0</v>
      </c>
    </row>
    <row r="163" spans="1:23" x14ac:dyDescent="0.6">
      <c r="A163" s="41" t="s">
        <v>156</v>
      </c>
      <c r="B163" s="50">
        <v>50</v>
      </c>
      <c r="C163" s="51" t="s">
        <v>971</v>
      </c>
      <c r="D163" s="25" t="s">
        <v>977</v>
      </c>
      <c r="E163" s="25" t="s">
        <v>983</v>
      </c>
      <c r="F163" s="50">
        <v>2</v>
      </c>
      <c r="G163" s="50">
        <f t="shared" si="13"/>
        <v>950</v>
      </c>
      <c r="H163" s="57">
        <v>1135</v>
      </c>
      <c r="I163" s="32">
        <v>950</v>
      </c>
      <c r="J163" s="32">
        <v>950.6</v>
      </c>
      <c r="K163" s="32">
        <v>5.01</v>
      </c>
      <c r="L163" s="46">
        <f t="shared" si="14"/>
        <v>19.473684210526315</v>
      </c>
      <c r="M163" s="46">
        <f t="shared" si="15"/>
        <v>0</v>
      </c>
      <c r="N163" s="46">
        <f t="shared" si="16"/>
        <v>6.3157894736844508E-2</v>
      </c>
      <c r="O163" s="41" t="s">
        <v>1</v>
      </c>
      <c r="P163" s="50">
        <v>960</v>
      </c>
      <c r="Q163" s="30">
        <v>963</v>
      </c>
      <c r="R163" s="33">
        <v>14.40613336</v>
      </c>
      <c r="S163" s="46">
        <f t="shared" si="17"/>
        <v>1.0526315789473684</v>
      </c>
      <c r="T163" s="46">
        <f t="shared" si="18"/>
        <v>1.368421052631579</v>
      </c>
      <c r="U163" s="50">
        <f>IF($I163&lt;$P163,1,0)</f>
        <v>1</v>
      </c>
      <c r="V163" s="50">
        <f>IF($I163=$P163,1,0)</f>
        <v>0</v>
      </c>
      <c r="W163" s="50">
        <f>IF($I163&gt;$P163,1,0)</f>
        <v>0</v>
      </c>
    </row>
    <row r="164" spans="1:23" x14ac:dyDescent="0.6">
      <c r="A164" s="41" t="s">
        <v>157</v>
      </c>
      <c r="B164" s="50">
        <v>50</v>
      </c>
      <c r="C164" s="51" t="s">
        <v>970</v>
      </c>
      <c r="D164" s="25" t="s">
        <v>976</v>
      </c>
      <c r="E164" s="25" t="s">
        <v>980</v>
      </c>
      <c r="F164" s="50">
        <v>3</v>
      </c>
      <c r="G164" s="50">
        <f t="shared" si="13"/>
        <v>973</v>
      </c>
      <c r="H164" s="57">
        <v>1140</v>
      </c>
      <c r="I164" s="32">
        <v>973</v>
      </c>
      <c r="J164" s="32">
        <v>974.2</v>
      </c>
      <c r="K164" s="32">
        <v>5.01</v>
      </c>
      <c r="L164" s="46">
        <f t="shared" si="14"/>
        <v>17.163412127440907</v>
      </c>
      <c r="M164" s="46">
        <f t="shared" si="15"/>
        <v>0</v>
      </c>
      <c r="N164" s="46">
        <f t="shared" si="16"/>
        <v>0.12332990750257404</v>
      </c>
      <c r="O164" s="41" t="s">
        <v>1</v>
      </c>
      <c r="P164" s="50">
        <v>983</v>
      </c>
      <c r="Q164" s="30">
        <v>987</v>
      </c>
      <c r="R164" s="33">
        <v>14.22241784</v>
      </c>
      <c r="S164" s="46">
        <f t="shared" si="17"/>
        <v>1.0277492291880781</v>
      </c>
      <c r="T164" s="46">
        <f t="shared" si="18"/>
        <v>1.4388489208633095</v>
      </c>
      <c r="U164" s="50">
        <f>IF($I164&lt;$P164,1,0)</f>
        <v>1</v>
      </c>
      <c r="V164" s="50">
        <f>IF($I164=$P164,1,0)</f>
        <v>0</v>
      </c>
      <c r="W164" s="50">
        <f>IF($I164&gt;$P164,1,0)</f>
        <v>0</v>
      </c>
    </row>
    <row r="165" spans="1:23" x14ac:dyDescent="0.6">
      <c r="A165" s="41" t="s">
        <v>158</v>
      </c>
      <c r="B165" s="50">
        <v>50</v>
      </c>
      <c r="C165" s="51" t="s">
        <v>970</v>
      </c>
      <c r="D165" s="25" t="s">
        <v>976</v>
      </c>
      <c r="E165" s="25" t="s">
        <v>980</v>
      </c>
      <c r="F165" s="50">
        <v>4</v>
      </c>
      <c r="G165" s="50">
        <f t="shared" si="13"/>
        <v>964</v>
      </c>
      <c r="H165" s="57">
        <v>1124</v>
      </c>
      <c r="I165" s="32">
        <v>964</v>
      </c>
      <c r="J165" s="32">
        <v>964.2</v>
      </c>
      <c r="K165" s="32">
        <v>5.01</v>
      </c>
      <c r="L165" s="46">
        <f t="shared" si="14"/>
        <v>16.597510373443981</v>
      </c>
      <c r="M165" s="46">
        <f t="shared" si="15"/>
        <v>0</v>
      </c>
      <c r="N165" s="46">
        <f t="shared" si="16"/>
        <v>2.0746887966809697E-2</v>
      </c>
      <c r="O165" s="41" t="s">
        <v>1</v>
      </c>
      <c r="P165" s="50">
        <v>970</v>
      </c>
      <c r="Q165" s="30">
        <v>972.2</v>
      </c>
      <c r="R165" s="33">
        <v>14.040745680000001</v>
      </c>
      <c r="S165" s="46">
        <f t="shared" si="17"/>
        <v>0.62240663900414939</v>
      </c>
      <c r="T165" s="46">
        <f t="shared" si="18"/>
        <v>0.8506224066390089</v>
      </c>
      <c r="U165" s="50">
        <f>IF($I165&lt;$P165,1,0)</f>
        <v>1</v>
      </c>
      <c r="V165" s="50">
        <f>IF($I165=$P165,1,0)</f>
        <v>0</v>
      </c>
      <c r="W165" s="50">
        <f>IF($I165&gt;$P165,1,0)</f>
        <v>0</v>
      </c>
    </row>
    <row r="166" spans="1:23" x14ac:dyDescent="0.6">
      <c r="A166" s="41" t="s">
        <v>159</v>
      </c>
      <c r="B166" s="50">
        <v>50</v>
      </c>
      <c r="C166" s="51" t="s">
        <v>970</v>
      </c>
      <c r="D166" s="25" t="s">
        <v>976</v>
      </c>
      <c r="E166" s="25" t="s">
        <v>980</v>
      </c>
      <c r="F166" s="50">
        <v>5</v>
      </c>
      <c r="G166" s="50">
        <f t="shared" si="13"/>
        <v>956</v>
      </c>
      <c r="H166" s="57">
        <v>1205</v>
      </c>
      <c r="I166" s="32">
        <v>956</v>
      </c>
      <c r="J166" s="32">
        <v>956.4</v>
      </c>
      <c r="K166" s="32">
        <v>5.01</v>
      </c>
      <c r="L166" s="46">
        <f t="shared" si="14"/>
        <v>26.04602510460251</v>
      </c>
      <c r="M166" s="46">
        <f t="shared" si="15"/>
        <v>0</v>
      </c>
      <c r="N166" s="46">
        <f t="shared" si="16"/>
        <v>4.1841004184098043E-2</v>
      </c>
      <c r="O166" s="41" t="s">
        <v>1</v>
      </c>
      <c r="P166" s="50">
        <v>966</v>
      </c>
      <c r="Q166" s="30">
        <v>969.2</v>
      </c>
      <c r="R166" s="33">
        <v>14.86954512</v>
      </c>
      <c r="S166" s="46">
        <f t="shared" si="17"/>
        <v>1.0460251046025104</v>
      </c>
      <c r="T166" s="46">
        <f t="shared" si="18"/>
        <v>1.3807531380753186</v>
      </c>
      <c r="U166" s="50">
        <f>IF($I166&lt;$P166,1,0)</f>
        <v>1</v>
      </c>
      <c r="V166" s="50">
        <f>IF($I166=$P166,1,0)</f>
        <v>0</v>
      </c>
      <c r="W166" s="50">
        <f>IF($I166&gt;$P166,1,0)</f>
        <v>0</v>
      </c>
    </row>
    <row r="167" spans="1:23" x14ac:dyDescent="0.6">
      <c r="A167" s="41" t="s">
        <v>160</v>
      </c>
      <c r="B167" s="50">
        <v>50</v>
      </c>
      <c r="C167" s="51" t="s">
        <v>970</v>
      </c>
      <c r="D167" s="25" t="s">
        <v>976</v>
      </c>
      <c r="E167" s="25" t="s">
        <v>980</v>
      </c>
      <c r="F167" s="50">
        <v>6</v>
      </c>
      <c r="G167" s="50">
        <f t="shared" si="13"/>
        <v>957</v>
      </c>
      <c r="H167" s="57">
        <v>1223</v>
      </c>
      <c r="I167" s="32">
        <v>957</v>
      </c>
      <c r="J167" s="32">
        <v>957.6</v>
      </c>
      <c r="K167" s="32">
        <v>5.01</v>
      </c>
      <c r="L167" s="46">
        <f t="shared" si="14"/>
        <v>27.795193312434691</v>
      </c>
      <c r="M167" s="46">
        <f t="shared" si="15"/>
        <v>0</v>
      </c>
      <c r="N167" s="46">
        <f t="shared" si="16"/>
        <v>6.2695924764892663E-2</v>
      </c>
      <c r="O167" s="41" t="s">
        <v>1</v>
      </c>
      <c r="P167" s="50">
        <v>966</v>
      </c>
      <c r="Q167" s="30">
        <v>971.8</v>
      </c>
      <c r="R167" s="33">
        <v>14.612795820000001</v>
      </c>
      <c r="S167" s="46">
        <f t="shared" si="17"/>
        <v>0.94043887147335425</v>
      </c>
      <c r="T167" s="46">
        <f t="shared" si="18"/>
        <v>1.5464994775339556</v>
      </c>
      <c r="U167" s="50">
        <f>IF($I167&lt;$P167,1,0)</f>
        <v>1</v>
      </c>
      <c r="V167" s="50">
        <f>IF($I167=$P167,1,0)</f>
        <v>0</v>
      </c>
      <c r="W167" s="50">
        <f>IF($I167&gt;$P167,1,0)</f>
        <v>0</v>
      </c>
    </row>
    <row r="168" spans="1:23" x14ac:dyDescent="0.6">
      <c r="A168" s="41" t="s">
        <v>161</v>
      </c>
      <c r="B168" s="50">
        <v>50</v>
      </c>
      <c r="C168" s="51" t="s">
        <v>970</v>
      </c>
      <c r="D168" s="25" t="s">
        <v>976</v>
      </c>
      <c r="E168" s="25" t="s">
        <v>980</v>
      </c>
      <c r="F168" s="50">
        <v>7</v>
      </c>
      <c r="G168" s="50">
        <f t="shared" si="13"/>
        <v>971</v>
      </c>
      <c r="H168" s="57">
        <v>1223</v>
      </c>
      <c r="I168" s="32">
        <v>971</v>
      </c>
      <c r="J168" s="32">
        <v>971.2</v>
      </c>
      <c r="K168" s="32">
        <v>5.01</v>
      </c>
      <c r="L168" s="46">
        <f t="shared" si="14"/>
        <v>25.952626158599383</v>
      </c>
      <c r="M168" s="46">
        <f t="shared" si="15"/>
        <v>0</v>
      </c>
      <c r="N168" s="46">
        <f t="shared" si="16"/>
        <v>2.0597322348099432E-2</v>
      </c>
      <c r="O168" s="41" t="s">
        <v>1</v>
      </c>
      <c r="P168" s="50">
        <v>976</v>
      </c>
      <c r="Q168" s="30">
        <v>981</v>
      </c>
      <c r="R168" s="33">
        <v>15.122828119999999</v>
      </c>
      <c r="S168" s="46">
        <f t="shared" si="17"/>
        <v>0.51493305870236872</v>
      </c>
      <c r="T168" s="46">
        <f t="shared" si="18"/>
        <v>1.0298661174047374</v>
      </c>
      <c r="U168" s="50">
        <f>IF($I168&lt;$P168,1,0)</f>
        <v>1</v>
      </c>
      <c r="V168" s="50">
        <f>IF($I168=$P168,1,0)</f>
        <v>0</v>
      </c>
      <c r="W168" s="50">
        <f>IF($I168&gt;$P168,1,0)</f>
        <v>0</v>
      </c>
    </row>
    <row r="169" spans="1:23" x14ac:dyDescent="0.6">
      <c r="A169" s="41" t="s">
        <v>162</v>
      </c>
      <c r="B169" s="50">
        <v>50</v>
      </c>
      <c r="C169" s="51" t="s">
        <v>970</v>
      </c>
      <c r="D169" s="25" t="s">
        <v>976</v>
      </c>
      <c r="E169" s="25" t="s">
        <v>980</v>
      </c>
      <c r="F169" s="50">
        <v>8</v>
      </c>
      <c r="G169" s="50">
        <f t="shared" si="13"/>
        <v>988</v>
      </c>
      <c r="H169" s="57">
        <v>1158</v>
      </c>
      <c r="I169" s="32">
        <v>988</v>
      </c>
      <c r="J169" s="32">
        <v>988.6</v>
      </c>
      <c r="K169" s="32">
        <v>5.01</v>
      </c>
      <c r="L169" s="46">
        <f t="shared" si="14"/>
        <v>17.20647773279352</v>
      </c>
      <c r="M169" s="46">
        <f t="shared" si="15"/>
        <v>0</v>
      </c>
      <c r="N169" s="46">
        <f t="shared" si="16"/>
        <v>6.0728744939273556E-2</v>
      </c>
      <c r="O169" s="41" t="s">
        <v>1</v>
      </c>
      <c r="P169" s="50">
        <v>999</v>
      </c>
      <c r="Q169" s="30">
        <v>1000.8</v>
      </c>
      <c r="R169" s="33">
        <v>14.05622956</v>
      </c>
      <c r="S169" s="46">
        <f t="shared" si="17"/>
        <v>1.1133603238866396</v>
      </c>
      <c r="T169" s="46">
        <f t="shared" si="18"/>
        <v>1.2955465587044488</v>
      </c>
      <c r="U169" s="50">
        <f>IF($I169&lt;$P169,1,0)</f>
        <v>1</v>
      </c>
      <c r="V169" s="50">
        <f>IF($I169=$P169,1,0)</f>
        <v>0</v>
      </c>
      <c r="W169" s="50">
        <f>IF($I169&gt;$P169,1,0)</f>
        <v>0</v>
      </c>
    </row>
    <row r="170" spans="1:23" x14ac:dyDescent="0.6">
      <c r="A170" s="41" t="s">
        <v>163</v>
      </c>
      <c r="B170" s="50">
        <v>50</v>
      </c>
      <c r="C170" s="51" t="s">
        <v>970</v>
      </c>
      <c r="D170" s="25" t="s">
        <v>976</v>
      </c>
      <c r="E170" s="25" t="s">
        <v>980</v>
      </c>
      <c r="F170" s="50">
        <v>9</v>
      </c>
      <c r="G170" s="50">
        <f t="shared" si="13"/>
        <v>954</v>
      </c>
      <c r="H170" s="57">
        <v>1239</v>
      </c>
      <c r="I170" s="32">
        <v>954</v>
      </c>
      <c r="J170" s="32">
        <v>954.6</v>
      </c>
      <c r="K170" s="32">
        <v>5.01</v>
      </c>
      <c r="L170" s="46">
        <f t="shared" si="14"/>
        <v>29.874213836477985</v>
      </c>
      <c r="M170" s="46">
        <f t="shared" si="15"/>
        <v>0</v>
      </c>
      <c r="N170" s="46">
        <f t="shared" si="16"/>
        <v>6.2893081761008676E-2</v>
      </c>
      <c r="O170" s="41" t="s">
        <v>1</v>
      </c>
      <c r="P170" s="50">
        <v>960</v>
      </c>
      <c r="Q170" s="30">
        <v>964.8</v>
      </c>
      <c r="R170" s="33">
        <v>14.86275444</v>
      </c>
      <c r="S170" s="46">
        <f t="shared" si="17"/>
        <v>0.62893081761006298</v>
      </c>
      <c r="T170" s="46">
        <f t="shared" si="18"/>
        <v>1.1320754716981085</v>
      </c>
      <c r="U170" s="50">
        <f>IF($I170&lt;$P170,1,0)</f>
        <v>1</v>
      </c>
      <c r="V170" s="50">
        <f>IF($I170=$P170,1,0)</f>
        <v>0</v>
      </c>
      <c r="W170" s="50">
        <f>IF($I170&gt;$P170,1,0)</f>
        <v>0</v>
      </c>
    </row>
    <row r="171" spans="1:23" x14ac:dyDescent="0.6">
      <c r="A171" s="41" t="s">
        <v>164</v>
      </c>
      <c r="B171" s="50">
        <v>50</v>
      </c>
      <c r="C171" s="51" t="s">
        <v>970</v>
      </c>
      <c r="D171" s="25" t="s">
        <v>976</v>
      </c>
      <c r="E171" s="25" t="s">
        <v>980</v>
      </c>
      <c r="F171" s="50">
        <v>10</v>
      </c>
      <c r="G171" s="50">
        <f t="shared" si="13"/>
        <v>959</v>
      </c>
      <c r="H171" s="57">
        <v>1256</v>
      </c>
      <c r="I171" s="32">
        <v>959</v>
      </c>
      <c r="J171" s="32">
        <v>961</v>
      </c>
      <c r="K171" s="32">
        <v>5</v>
      </c>
      <c r="L171" s="46">
        <f t="shared" si="14"/>
        <v>30.969760166840459</v>
      </c>
      <c r="M171" s="46">
        <f t="shared" si="15"/>
        <v>0</v>
      </c>
      <c r="N171" s="46">
        <f t="shared" si="16"/>
        <v>0.20855057351407716</v>
      </c>
      <c r="O171" s="41" t="s">
        <v>1</v>
      </c>
      <c r="P171" s="50">
        <v>971</v>
      </c>
      <c r="Q171" s="30">
        <v>976.6</v>
      </c>
      <c r="R171" s="33">
        <v>15.40191664</v>
      </c>
      <c r="S171" s="46">
        <f t="shared" si="17"/>
        <v>1.251303441084463</v>
      </c>
      <c r="T171" s="46">
        <f t="shared" si="18"/>
        <v>1.8352450469238815</v>
      </c>
      <c r="U171" s="50">
        <f>IF($I171&lt;$P171,1,0)</f>
        <v>1</v>
      </c>
      <c r="V171" s="50">
        <f>IF($I171=$P171,1,0)</f>
        <v>0</v>
      </c>
      <c r="W171" s="50">
        <f>IF($I171&gt;$P171,1,0)</f>
        <v>0</v>
      </c>
    </row>
    <row r="172" spans="1:23" x14ac:dyDescent="0.6">
      <c r="A172" s="41" t="s">
        <v>165</v>
      </c>
      <c r="B172" s="50">
        <v>50</v>
      </c>
      <c r="C172" s="51" t="s">
        <v>970</v>
      </c>
      <c r="D172" s="25" t="s">
        <v>976</v>
      </c>
      <c r="E172" s="25" t="s">
        <v>984</v>
      </c>
      <c r="F172" s="50">
        <v>1</v>
      </c>
      <c r="G172" s="50">
        <f t="shared" si="13"/>
        <v>984</v>
      </c>
      <c r="H172" s="57">
        <v>1375</v>
      </c>
      <c r="I172" s="32">
        <v>984</v>
      </c>
      <c r="J172" s="32">
        <v>985.4</v>
      </c>
      <c r="K172" s="32">
        <v>5.01</v>
      </c>
      <c r="L172" s="46">
        <f t="shared" si="14"/>
        <v>39.735772357723576</v>
      </c>
      <c r="M172" s="46">
        <f t="shared" si="15"/>
        <v>0</v>
      </c>
      <c r="N172" s="46">
        <f t="shared" si="16"/>
        <v>0.14227642276422534</v>
      </c>
      <c r="O172" s="41" t="s">
        <v>1</v>
      </c>
      <c r="P172" s="50">
        <v>996</v>
      </c>
      <c r="Q172" s="30">
        <v>999.6</v>
      </c>
      <c r="R172" s="33">
        <v>14.6893627</v>
      </c>
      <c r="S172" s="46">
        <f t="shared" si="17"/>
        <v>1.2195121951219512</v>
      </c>
      <c r="T172" s="46">
        <f t="shared" si="18"/>
        <v>1.5853658536585391</v>
      </c>
      <c r="U172" s="50">
        <f>IF($I172&lt;$P172,1,0)</f>
        <v>1</v>
      </c>
      <c r="V172" s="50">
        <f>IF($I172=$P172,1,0)</f>
        <v>0</v>
      </c>
      <c r="W172" s="50">
        <f>IF($I172&gt;$P172,1,0)</f>
        <v>0</v>
      </c>
    </row>
    <row r="173" spans="1:23" x14ac:dyDescent="0.6">
      <c r="A173" s="41" t="s">
        <v>166</v>
      </c>
      <c r="B173" s="50">
        <v>50</v>
      </c>
      <c r="C173" s="51" t="s">
        <v>970</v>
      </c>
      <c r="D173" s="25" t="s">
        <v>976</v>
      </c>
      <c r="E173" s="25" t="s">
        <v>984</v>
      </c>
      <c r="F173" s="50">
        <v>2</v>
      </c>
      <c r="G173" s="50">
        <f t="shared" si="13"/>
        <v>950</v>
      </c>
      <c r="H173" s="57">
        <v>1256</v>
      </c>
      <c r="I173" s="32">
        <v>950</v>
      </c>
      <c r="J173" s="32">
        <v>950.8</v>
      </c>
      <c r="K173" s="32">
        <v>5.01</v>
      </c>
      <c r="L173" s="46">
        <f t="shared" si="14"/>
        <v>32.210526315789473</v>
      </c>
      <c r="M173" s="46">
        <f t="shared" si="15"/>
        <v>0</v>
      </c>
      <c r="N173" s="46">
        <f t="shared" si="16"/>
        <v>8.4210526315784684E-2</v>
      </c>
      <c r="O173" s="41" t="s">
        <v>1</v>
      </c>
      <c r="P173" s="50">
        <v>961</v>
      </c>
      <c r="Q173" s="30">
        <v>963.2</v>
      </c>
      <c r="R173" s="33">
        <v>14.76058478</v>
      </c>
      <c r="S173" s="46">
        <f t="shared" si="17"/>
        <v>1.1578947368421053</v>
      </c>
      <c r="T173" s="46">
        <f t="shared" si="18"/>
        <v>1.3894736842105311</v>
      </c>
      <c r="U173" s="50">
        <f>IF($I173&lt;$P173,1,0)</f>
        <v>1</v>
      </c>
      <c r="V173" s="50">
        <f>IF($I173=$P173,1,0)</f>
        <v>0</v>
      </c>
      <c r="W173" s="50">
        <f>IF($I173&gt;$P173,1,0)</f>
        <v>0</v>
      </c>
    </row>
    <row r="174" spans="1:23" x14ac:dyDescent="0.6">
      <c r="A174" s="41" t="s">
        <v>167</v>
      </c>
      <c r="B174" s="50">
        <v>50</v>
      </c>
      <c r="C174" s="51" t="s">
        <v>970</v>
      </c>
      <c r="D174" s="25" t="s">
        <v>976</v>
      </c>
      <c r="E174" s="25" t="s">
        <v>982</v>
      </c>
      <c r="F174" s="50">
        <v>3</v>
      </c>
      <c r="G174" s="50">
        <f t="shared" si="13"/>
        <v>973</v>
      </c>
      <c r="H174" s="57">
        <v>1260</v>
      </c>
      <c r="I174" s="32">
        <v>973</v>
      </c>
      <c r="J174" s="32">
        <v>974.8</v>
      </c>
      <c r="K174" s="32">
        <v>5.01</v>
      </c>
      <c r="L174" s="46">
        <f t="shared" si="14"/>
        <v>29.496402877697843</v>
      </c>
      <c r="M174" s="46">
        <f t="shared" si="15"/>
        <v>0</v>
      </c>
      <c r="N174" s="46">
        <f t="shared" si="16"/>
        <v>0.18499486125384937</v>
      </c>
      <c r="O174" s="41" t="s">
        <v>1</v>
      </c>
      <c r="P174" s="50">
        <v>989</v>
      </c>
      <c r="Q174" s="30">
        <v>990</v>
      </c>
      <c r="R174" s="33">
        <v>14.39594306</v>
      </c>
      <c r="S174" s="46">
        <f t="shared" si="17"/>
        <v>1.644398766700925</v>
      </c>
      <c r="T174" s="46">
        <f t="shared" si="18"/>
        <v>1.7471736896197325</v>
      </c>
      <c r="U174" s="50">
        <f>IF($I174&lt;$P174,1,0)</f>
        <v>1</v>
      </c>
      <c r="V174" s="50">
        <f>IF($I174=$P174,1,0)</f>
        <v>0</v>
      </c>
      <c r="W174" s="50">
        <f>IF($I174&gt;$P174,1,0)</f>
        <v>0</v>
      </c>
    </row>
    <row r="175" spans="1:23" x14ac:dyDescent="0.6">
      <c r="A175" s="41" t="s">
        <v>168</v>
      </c>
      <c r="B175" s="50">
        <v>50</v>
      </c>
      <c r="C175" s="51" t="s">
        <v>970</v>
      </c>
      <c r="D175" s="25" t="s">
        <v>976</v>
      </c>
      <c r="E175" s="25" t="s">
        <v>982</v>
      </c>
      <c r="F175" s="50">
        <v>4</v>
      </c>
      <c r="G175" s="50">
        <f t="shared" si="13"/>
        <v>963</v>
      </c>
      <c r="H175" s="57">
        <v>1244</v>
      </c>
      <c r="I175" s="32">
        <v>963</v>
      </c>
      <c r="J175" s="32">
        <v>963.8</v>
      </c>
      <c r="K175" s="32">
        <v>5.01</v>
      </c>
      <c r="L175" s="46">
        <f t="shared" si="14"/>
        <v>29.179646936656283</v>
      </c>
      <c r="M175" s="46">
        <f t="shared" si="15"/>
        <v>0</v>
      </c>
      <c r="N175" s="46">
        <f t="shared" si="16"/>
        <v>8.307372793353629E-2</v>
      </c>
      <c r="O175" s="41" t="s">
        <v>1</v>
      </c>
      <c r="P175" s="50">
        <v>971</v>
      </c>
      <c r="Q175" s="30">
        <v>975</v>
      </c>
      <c r="R175" s="33">
        <v>14.29753912</v>
      </c>
      <c r="S175" s="46">
        <f t="shared" si="17"/>
        <v>0.83073727933541019</v>
      </c>
      <c r="T175" s="46">
        <f t="shared" si="18"/>
        <v>1.2461059190031152</v>
      </c>
      <c r="U175" s="50">
        <f>IF($I175&lt;$P175,1,0)</f>
        <v>1</v>
      </c>
      <c r="V175" s="50">
        <f>IF($I175=$P175,1,0)</f>
        <v>0</v>
      </c>
      <c r="W175" s="50">
        <f>IF($I175&gt;$P175,1,0)</f>
        <v>0</v>
      </c>
    </row>
    <row r="176" spans="1:23" x14ac:dyDescent="0.6">
      <c r="A176" s="41" t="s">
        <v>169</v>
      </c>
      <c r="B176" s="50">
        <v>50</v>
      </c>
      <c r="C176" s="51" t="s">
        <v>970</v>
      </c>
      <c r="D176" s="25" t="s">
        <v>976</v>
      </c>
      <c r="E176" s="25" t="s">
        <v>982</v>
      </c>
      <c r="F176" s="50">
        <v>5</v>
      </c>
      <c r="G176" s="50">
        <f t="shared" si="13"/>
        <v>955</v>
      </c>
      <c r="H176" s="57">
        <v>1387</v>
      </c>
      <c r="I176" s="32">
        <v>955</v>
      </c>
      <c r="J176" s="32">
        <v>956</v>
      </c>
      <c r="K176" s="32">
        <v>5.01</v>
      </c>
      <c r="L176" s="46">
        <f t="shared" si="14"/>
        <v>45.235602094240839</v>
      </c>
      <c r="M176" s="46">
        <f t="shared" si="15"/>
        <v>0</v>
      </c>
      <c r="N176" s="46">
        <f t="shared" si="16"/>
        <v>0.10471204188481677</v>
      </c>
      <c r="O176" s="41" t="s">
        <v>1</v>
      </c>
      <c r="P176" s="50">
        <v>969</v>
      </c>
      <c r="Q176" s="30">
        <v>971</v>
      </c>
      <c r="R176" s="33">
        <v>14.5061669</v>
      </c>
      <c r="S176" s="46">
        <f t="shared" si="17"/>
        <v>1.4659685863874345</v>
      </c>
      <c r="T176" s="46">
        <f t="shared" si="18"/>
        <v>1.6753926701570683</v>
      </c>
      <c r="U176" s="50">
        <f>IF($I176&lt;$P176,1,0)</f>
        <v>1</v>
      </c>
      <c r="V176" s="50">
        <f>IF($I176=$P176,1,0)</f>
        <v>0</v>
      </c>
      <c r="W176" s="50">
        <f>IF($I176&gt;$P176,1,0)</f>
        <v>0</v>
      </c>
    </row>
    <row r="177" spans="1:23" x14ac:dyDescent="0.6">
      <c r="A177" s="41" t="s">
        <v>170</v>
      </c>
      <c r="B177" s="50">
        <v>50</v>
      </c>
      <c r="C177" s="51" t="s">
        <v>970</v>
      </c>
      <c r="D177" s="25" t="s">
        <v>976</v>
      </c>
      <c r="E177" s="25" t="s">
        <v>982</v>
      </c>
      <c r="F177" s="50">
        <v>6</v>
      </c>
      <c r="G177" s="50">
        <f t="shared" si="13"/>
        <v>956</v>
      </c>
      <c r="H177" s="57">
        <v>1423</v>
      </c>
      <c r="I177" s="32">
        <v>956</v>
      </c>
      <c r="J177" s="32">
        <v>957.8</v>
      </c>
      <c r="K177" s="32">
        <v>5.01</v>
      </c>
      <c r="L177" s="46">
        <f t="shared" si="14"/>
        <v>48.84937238493724</v>
      </c>
      <c r="M177" s="46">
        <f t="shared" si="15"/>
        <v>0</v>
      </c>
      <c r="N177" s="46">
        <f t="shared" si="16"/>
        <v>0.18828451882844713</v>
      </c>
      <c r="O177" s="41" t="s">
        <v>1</v>
      </c>
      <c r="P177" s="50">
        <v>969</v>
      </c>
      <c r="Q177" s="30">
        <v>972.6</v>
      </c>
      <c r="R177" s="33">
        <v>14.749122160000001</v>
      </c>
      <c r="S177" s="46">
        <f t="shared" si="17"/>
        <v>1.3598326359832638</v>
      </c>
      <c r="T177" s="46">
        <f t="shared" si="18"/>
        <v>1.7364016736401695</v>
      </c>
      <c r="U177" s="50">
        <f>IF($I177&lt;$P177,1,0)</f>
        <v>1</v>
      </c>
      <c r="V177" s="50">
        <f>IF($I177=$P177,1,0)</f>
        <v>0</v>
      </c>
      <c r="W177" s="50">
        <f>IF($I177&gt;$P177,1,0)</f>
        <v>0</v>
      </c>
    </row>
    <row r="178" spans="1:23" x14ac:dyDescent="0.6">
      <c r="A178" s="41" t="s">
        <v>171</v>
      </c>
      <c r="B178" s="50">
        <v>50</v>
      </c>
      <c r="C178" s="51" t="s">
        <v>970</v>
      </c>
      <c r="D178" s="25" t="s">
        <v>976</v>
      </c>
      <c r="E178" s="25" t="s">
        <v>982</v>
      </c>
      <c r="F178" s="50">
        <v>7</v>
      </c>
      <c r="G178" s="50">
        <f t="shared" si="13"/>
        <v>970</v>
      </c>
      <c r="H178" s="57">
        <v>1403</v>
      </c>
      <c r="I178" s="32">
        <v>970</v>
      </c>
      <c r="J178" s="32">
        <v>970.6</v>
      </c>
      <c r="K178" s="32">
        <v>5.01</v>
      </c>
      <c r="L178" s="46">
        <f t="shared" si="14"/>
        <v>44.639175257731964</v>
      </c>
      <c r="M178" s="46">
        <f t="shared" si="15"/>
        <v>0</v>
      </c>
      <c r="N178" s="46">
        <f t="shared" si="16"/>
        <v>6.1855670103095131E-2</v>
      </c>
      <c r="O178" s="41" t="s">
        <v>1</v>
      </c>
      <c r="P178" s="50">
        <v>980</v>
      </c>
      <c r="Q178" s="30">
        <v>985.2</v>
      </c>
      <c r="R178" s="33">
        <v>15.649400760000001</v>
      </c>
      <c r="S178" s="46">
        <f t="shared" si="17"/>
        <v>1.0309278350515463</v>
      </c>
      <c r="T178" s="46">
        <f t="shared" si="18"/>
        <v>1.5670103092783554</v>
      </c>
      <c r="U178" s="50">
        <f>IF($I178&lt;$P178,1,0)</f>
        <v>1</v>
      </c>
      <c r="V178" s="50">
        <f>IF($I178=$P178,1,0)</f>
        <v>0</v>
      </c>
      <c r="W178" s="50">
        <f>IF($I178&gt;$P178,1,0)</f>
        <v>0</v>
      </c>
    </row>
    <row r="179" spans="1:23" x14ac:dyDescent="0.6">
      <c r="A179" s="41" t="s">
        <v>172</v>
      </c>
      <c r="B179" s="50">
        <v>50</v>
      </c>
      <c r="C179" s="51" t="s">
        <v>970</v>
      </c>
      <c r="D179" s="25" t="s">
        <v>976</v>
      </c>
      <c r="E179" s="25" t="s">
        <v>982</v>
      </c>
      <c r="F179" s="50">
        <v>8</v>
      </c>
      <c r="G179" s="50">
        <f t="shared" si="13"/>
        <v>988</v>
      </c>
      <c r="H179" s="57">
        <v>1278</v>
      </c>
      <c r="I179" s="32">
        <v>988</v>
      </c>
      <c r="J179" s="32">
        <v>989</v>
      </c>
      <c r="K179" s="32">
        <v>5</v>
      </c>
      <c r="L179" s="46">
        <f t="shared" si="14"/>
        <v>29.352226720647774</v>
      </c>
      <c r="M179" s="46">
        <f t="shared" si="15"/>
        <v>0</v>
      </c>
      <c r="N179" s="46">
        <f t="shared" si="16"/>
        <v>0.10121457489878542</v>
      </c>
      <c r="O179" s="41" t="s">
        <v>1</v>
      </c>
      <c r="P179" s="50">
        <v>998</v>
      </c>
      <c r="Q179" s="30">
        <v>1001.4</v>
      </c>
      <c r="R179" s="33">
        <v>14.37096406</v>
      </c>
      <c r="S179" s="46">
        <f t="shared" si="17"/>
        <v>1.0121457489878543</v>
      </c>
      <c r="T179" s="46">
        <f t="shared" si="18"/>
        <v>1.3562753036437223</v>
      </c>
      <c r="U179" s="50">
        <f>IF($I179&lt;$P179,1,0)</f>
        <v>1</v>
      </c>
      <c r="V179" s="50">
        <f>IF($I179=$P179,1,0)</f>
        <v>0</v>
      </c>
      <c r="W179" s="50">
        <f>IF($I179&gt;$P179,1,0)</f>
        <v>0</v>
      </c>
    </row>
    <row r="180" spans="1:23" x14ac:dyDescent="0.6">
      <c r="A180" s="41" t="s">
        <v>173</v>
      </c>
      <c r="B180" s="50">
        <v>50</v>
      </c>
      <c r="C180" s="51" t="s">
        <v>970</v>
      </c>
      <c r="D180" s="25" t="s">
        <v>976</v>
      </c>
      <c r="E180" s="25" t="s">
        <v>982</v>
      </c>
      <c r="F180" s="50">
        <v>9</v>
      </c>
      <c r="G180" s="50">
        <f t="shared" si="13"/>
        <v>955</v>
      </c>
      <c r="H180" s="57">
        <v>1459</v>
      </c>
      <c r="I180" s="32">
        <v>955</v>
      </c>
      <c r="J180" s="32">
        <v>955.2</v>
      </c>
      <c r="K180" s="32">
        <v>5.01</v>
      </c>
      <c r="L180" s="46">
        <f t="shared" si="14"/>
        <v>52.774869109947645</v>
      </c>
      <c r="M180" s="46">
        <f t="shared" si="15"/>
        <v>0</v>
      </c>
      <c r="N180" s="46">
        <f t="shared" si="16"/>
        <v>2.0942408376968112E-2</v>
      </c>
      <c r="O180" s="41" t="s">
        <v>1</v>
      </c>
      <c r="P180" s="50">
        <v>962</v>
      </c>
      <c r="Q180" s="30">
        <v>967.4</v>
      </c>
      <c r="R180" s="33">
        <v>14.765890260000001</v>
      </c>
      <c r="S180" s="46">
        <f t="shared" si="17"/>
        <v>0.73298429319371727</v>
      </c>
      <c r="T180" s="46">
        <f t="shared" si="18"/>
        <v>1.2984293193717253</v>
      </c>
      <c r="U180" s="50">
        <f>IF($I180&lt;$P180,1,0)</f>
        <v>1</v>
      </c>
      <c r="V180" s="50">
        <f>IF($I180=$P180,1,0)</f>
        <v>0</v>
      </c>
      <c r="W180" s="50">
        <f>IF($I180&gt;$P180,1,0)</f>
        <v>0</v>
      </c>
    </row>
    <row r="181" spans="1:23" x14ac:dyDescent="0.6">
      <c r="A181" s="41" t="s">
        <v>174</v>
      </c>
      <c r="B181" s="50">
        <v>50</v>
      </c>
      <c r="C181" s="51" t="s">
        <v>970</v>
      </c>
      <c r="D181" s="25" t="s">
        <v>976</v>
      </c>
      <c r="E181" s="25" t="s">
        <v>982</v>
      </c>
      <c r="F181" s="50">
        <v>10</v>
      </c>
      <c r="G181" s="50">
        <f t="shared" si="13"/>
        <v>962</v>
      </c>
      <c r="H181" s="57">
        <v>1491</v>
      </c>
      <c r="I181" s="32">
        <v>962</v>
      </c>
      <c r="J181" s="32">
        <v>964.4</v>
      </c>
      <c r="K181" s="32">
        <v>5.01</v>
      </c>
      <c r="L181" s="46">
        <f t="shared" si="14"/>
        <v>54.989604989604992</v>
      </c>
      <c r="M181" s="46">
        <f t="shared" si="15"/>
        <v>0</v>
      </c>
      <c r="N181" s="46">
        <f t="shared" si="16"/>
        <v>0.24948024948024711</v>
      </c>
      <c r="O181" s="41" t="s">
        <v>1</v>
      </c>
      <c r="P181" s="50">
        <v>978</v>
      </c>
      <c r="Q181" s="30">
        <v>982.2</v>
      </c>
      <c r="R181" s="33">
        <v>15.49312986</v>
      </c>
      <c r="S181" s="46">
        <f t="shared" si="17"/>
        <v>1.6632016632016633</v>
      </c>
      <c r="T181" s="46">
        <f t="shared" si="18"/>
        <v>2.0997920997921042</v>
      </c>
      <c r="U181" s="50">
        <f>IF($I181&lt;$P181,1,0)</f>
        <v>1</v>
      </c>
      <c r="V181" s="50">
        <f>IF($I181=$P181,1,0)</f>
        <v>0</v>
      </c>
      <c r="W181" s="50">
        <f>IF($I181&gt;$P181,1,0)</f>
        <v>0</v>
      </c>
    </row>
    <row r="182" spans="1:23" x14ac:dyDescent="0.6">
      <c r="A182" s="41" t="s">
        <v>175</v>
      </c>
      <c r="B182" s="50">
        <v>50</v>
      </c>
      <c r="C182" s="51" t="s">
        <v>970</v>
      </c>
      <c r="D182" s="25" t="s">
        <v>979</v>
      </c>
      <c r="E182" s="25" t="s">
        <v>981</v>
      </c>
      <c r="F182" s="50">
        <v>1</v>
      </c>
      <c r="G182" s="50">
        <f t="shared" si="13"/>
        <v>1228</v>
      </c>
      <c r="H182" s="57">
        <v>1395</v>
      </c>
      <c r="I182" s="32">
        <v>1228</v>
      </c>
      <c r="J182" s="32">
        <v>1228.8</v>
      </c>
      <c r="K182" s="32">
        <v>5.01</v>
      </c>
      <c r="L182" s="46">
        <f t="shared" si="14"/>
        <v>13.599348534201955</v>
      </c>
      <c r="M182" s="46">
        <f t="shared" si="15"/>
        <v>0</v>
      </c>
      <c r="N182" s="46">
        <f t="shared" si="16"/>
        <v>6.5146579804556556E-2</v>
      </c>
      <c r="O182" s="41" t="s">
        <v>1</v>
      </c>
      <c r="P182" s="50">
        <v>1237</v>
      </c>
      <c r="Q182" s="30">
        <v>1244.8</v>
      </c>
      <c r="R182" s="33">
        <v>14.412801200000001</v>
      </c>
      <c r="S182" s="46">
        <f t="shared" si="17"/>
        <v>0.73289902280130292</v>
      </c>
      <c r="T182" s="46">
        <f t="shared" si="18"/>
        <v>1.3680781758957619</v>
      </c>
      <c r="U182" s="50">
        <f>IF($I182&lt;$P182,1,0)</f>
        <v>1</v>
      </c>
      <c r="V182" s="50">
        <f>IF($I182=$P182,1,0)</f>
        <v>0</v>
      </c>
      <c r="W182" s="50">
        <f>IF($I182&gt;$P182,1,0)</f>
        <v>0</v>
      </c>
    </row>
    <row r="183" spans="1:23" x14ac:dyDescent="0.6">
      <c r="A183" s="41" t="s">
        <v>176</v>
      </c>
      <c r="B183" s="50">
        <v>50</v>
      </c>
      <c r="C183" s="51" t="s">
        <v>970</v>
      </c>
      <c r="D183" s="25" t="s">
        <v>979</v>
      </c>
      <c r="E183" s="25" t="s">
        <v>983</v>
      </c>
      <c r="F183" s="50">
        <v>2</v>
      </c>
      <c r="G183" s="50">
        <f t="shared" si="13"/>
        <v>1195</v>
      </c>
      <c r="H183" s="57">
        <v>1350</v>
      </c>
      <c r="I183" s="32">
        <v>1195</v>
      </c>
      <c r="J183" s="32">
        <v>1195.4000000000001</v>
      </c>
      <c r="K183" s="32">
        <v>5.01</v>
      </c>
      <c r="L183" s="46">
        <f t="shared" si="14"/>
        <v>12.97071129707113</v>
      </c>
      <c r="M183" s="46">
        <f t="shared" si="15"/>
        <v>0</v>
      </c>
      <c r="N183" s="46">
        <f t="shared" si="16"/>
        <v>3.3472803347287951E-2</v>
      </c>
      <c r="O183" s="41" t="s">
        <v>1</v>
      </c>
      <c r="P183" s="50">
        <v>1204</v>
      </c>
      <c r="Q183" s="30">
        <v>1206</v>
      </c>
      <c r="R183" s="33">
        <v>14.66032628</v>
      </c>
      <c r="S183" s="46">
        <f t="shared" si="17"/>
        <v>0.7531380753138075</v>
      </c>
      <c r="T183" s="46">
        <f t="shared" si="18"/>
        <v>0.92050209205020928</v>
      </c>
      <c r="U183" s="50">
        <f>IF($I183&lt;$P183,1,0)</f>
        <v>1</v>
      </c>
      <c r="V183" s="50">
        <f>IF($I183=$P183,1,0)</f>
        <v>0</v>
      </c>
      <c r="W183" s="50">
        <f>IF($I183&gt;$P183,1,0)</f>
        <v>0</v>
      </c>
    </row>
    <row r="184" spans="1:23" x14ac:dyDescent="0.6">
      <c r="A184" s="41" t="s">
        <v>177</v>
      </c>
      <c r="B184" s="50">
        <v>50</v>
      </c>
      <c r="C184" s="51" t="s">
        <v>970</v>
      </c>
      <c r="D184" s="25" t="s">
        <v>978</v>
      </c>
      <c r="E184" s="25" t="s">
        <v>980</v>
      </c>
      <c r="F184" s="50">
        <v>3</v>
      </c>
      <c r="G184" s="50">
        <f t="shared" si="13"/>
        <v>1218</v>
      </c>
      <c r="H184" s="57">
        <v>1345</v>
      </c>
      <c r="I184" s="32">
        <v>1218</v>
      </c>
      <c r="J184" s="32">
        <v>1219</v>
      </c>
      <c r="K184" s="32">
        <v>5.01</v>
      </c>
      <c r="L184" s="46">
        <f t="shared" si="14"/>
        <v>10.426929392446633</v>
      </c>
      <c r="M184" s="46">
        <f t="shared" si="15"/>
        <v>0</v>
      </c>
      <c r="N184" s="46">
        <f t="shared" si="16"/>
        <v>8.2101806239737271E-2</v>
      </c>
      <c r="O184" s="41" t="s">
        <v>1</v>
      </c>
      <c r="P184" s="50">
        <v>1230</v>
      </c>
      <c r="Q184" s="30">
        <v>1232.2</v>
      </c>
      <c r="R184" s="33">
        <v>14.327262940000001</v>
      </c>
      <c r="S184" s="46">
        <f t="shared" si="17"/>
        <v>0.98522167487684731</v>
      </c>
      <c r="T184" s="46">
        <f t="shared" si="18"/>
        <v>1.165845648604273</v>
      </c>
      <c r="U184" s="50">
        <f>IF($I184&lt;$P184,1,0)</f>
        <v>1</v>
      </c>
      <c r="V184" s="50">
        <f>IF($I184=$P184,1,0)</f>
        <v>0</v>
      </c>
      <c r="W184" s="50">
        <f>IF($I184&gt;$P184,1,0)</f>
        <v>0</v>
      </c>
    </row>
    <row r="185" spans="1:23" x14ac:dyDescent="0.6">
      <c r="A185" s="41" t="s">
        <v>178</v>
      </c>
      <c r="B185" s="50">
        <v>50</v>
      </c>
      <c r="C185" s="51" t="s">
        <v>970</v>
      </c>
      <c r="D185" s="25" t="s">
        <v>978</v>
      </c>
      <c r="E185" s="25" t="s">
        <v>980</v>
      </c>
      <c r="F185" s="50">
        <v>4</v>
      </c>
      <c r="G185" s="50">
        <f t="shared" si="13"/>
        <v>1208</v>
      </c>
      <c r="H185" s="57">
        <v>1344</v>
      </c>
      <c r="I185" s="32">
        <v>1208</v>
      </c>
      <c r="J185" s="32">
        <v>1208.8</v>
      </c>
      <c r="K185" s="32">
        <v>5</v>
      </c>
      <c r="L185" s="46">
        <f t="shared" si="14"/>
        <v>11.258278145695364</v>
      </c>
      <c r="M185" s="46">
        <f t="shared" si="15"/>
        <v>0</v>
      </c>
      <c r="N185" s="46">
        <f t="shared" si="16"/>
        <v>6.6225165562910152E-2</v>
      </c>
      <c r="O185" s="41" t="s">
        <v>1</v>
      </c>
      <c r="P185" s="50">
        <v>1220</v>
      </c>
      <c r="Q185" s="30">
        <v>1223</v>
      </c>
      <c r="R185" s="33">
        <v>13.89188072</v>
      </c>
      <c r="S185" s="46">
        <f t="shared" si="17"/>
        <v>0.99337748344370869</v>
      </c>
      <c r="T185" s="46">
        <f t="shared" si="18"/>
        <v>1.2417218543046358</v>
      </c>
      <c r="U185" s="50">
        <f>IF($I185&lt;$P185,1,0)</f>
        <v>1</v>
      </c>
      <c r="V185" s="50">
        <f>IF($I185=$P185,1,0)</f>
        <v>0</v>
      </c>
      <c r="W185" s="50">
        <f>IF($I185&gt;$P185,1,0)</f>
        <v>0</v>
      </c>
    </row>
    <row r="186" spans="1:23" x14ac:dyDescent="0.6">
      <c r="A186" s="41" t="s">
        <v>179</v>
      </c>
      <c r="B186" s="50">
        <v>50</v>
      </c>
      <c r="C186" s="51" t="s">
        <v>970</v>
      </c>
      <c r="D186" s="25" t="s">
        <v>978</v>
      </c>
      <c r="E186" s="25" t="s">
        <v>980</v>
      </c>
      <c r="F186" s="50">
        <v>5</v>
      </c>
      <c r="G186" s="50">
        <f t="shared" si="13"/>
        <v>1200</v>
      </c>
      <c r="H186" s="57">
        <v>1406</v>
      </c>
      <c r="I186" s="32">
        <v>1200</v>
      </c>
      <c r="J186" s="32">
        <v>1200.4000000000001</v>
      </c>
      <c r="K186" s="32">
        <v>5</v>
      </c>
      <c r="L186" s="46">
        <f t="shared" si="14"/>
        <v>17.166666666666668</v>
      </c>
      <c r="M186" s="46">
        <f t="shared" si="15"/>
        <v>0</v>
      </c>
      <c r="N186" s="46">
        <f t="shared" si="16"/>
        <v>3.333333333334091E-2</v>
      </c>
      <c r="O186" s="41" t="s">
        <v>1</v>
      </c>
      <c r="P186" s="50">
        <v>1212</v>
      </c>
      <c r="Q186" s="30">
        <v>1213.8</v>
      </c>
      <c r="R186" s="33">
        <v>14.471027619999999</v>
      </c>
      <c r="S186" s="46">
        <f t="shared" si="17"/>
        <v>1</v>
      </c>
      <c r="T186" s="46">
        <f t="shared" si="18"/>
        <v>1.1499999999999961</v>
      </c>
      <c r="U186" s="50">
        <f>IF($I186&lt;$P186,1,0)</f>
        <v>1</v>
      </c>
      <c r="V186" s="50">
        <f>IF($I186=$P186,1,0)</f>
        <v>0</v>
      </c>
      <c r="W186" s="50">
        <f>IF($I186&gt;$P186,1,0)</f>
        <v>0</v>
      </c>
    </row>
    <row r="187" spans="1:23" x14ac:dyDescent="0.6">
      <c r="A187" s="41" t="s">
        <v>180</v>
      </c>
      <c r="B187" s="50">
        <v>50</v>
      </c>
      <c r="C187" s="51" t="s">
        <v>970</v>
      </c>
      <c r="D187" s="25" t="s">
        <v>978</v>
      </c>
      <c r="E187" s="25" t="s">
        <v>980</v>
      </c>
      <c r="F187" s="50">
        <v>6</v>
      </c>
      <c r="G187" s="50">
        <f t="shared" si="13"/>
        <v>1202</v>
      </c>
      <c r="H187" s="57">
        <v>1418</v>
      </c>
      <c r="I187" s="32">
        <v>1202</v>
      </c>
      <c r="J187" s="32">
        <v>1202.8</v>
      </c>
      <c r="K187" s="32">
        <v>5</v>
      </c>
      <c r="L187" s="46">
        <f t="shared" si="14"/>
        <v>17.970049916805326</v>
      </c>
      <c r="M187" s="46">
        <f t="shared" si="15"/>
        <v>0</v>
      </c>
      <c r="N187" s="46">
        <f t="shared" si="16"/>
        <v>6.6555740432608534E-2</v>
      </c>
      <c r="O187" s="41" t="s">
        <v>1</v>
      </c>
      <c r="P187" s="50">
        <v>1215</v>
      </c>
      <c r="Q187" s="30">
        <v>1219.2</v>
      </c>
      <c r="R187" s="33">
        <v>14.422518139999999</v>
      </c>
      <c r="S187" s="46">
        <f t="shared" si="17"/>
        <v>1.0815307820299502</v>
      </c>
      <c r="T187" s="46">
        <f t="shared" si="18"/>
        <v>1.4309484193011686</v>
      </c>
      <c r="U187" s="50">
        <f>IF($I187&lt;$P187,1,0)</f>
        <v>1</v>
      </c>
      <c r="V187" s="50">
        <f>IF($I187=$P187,1,0)</f>
        <v>0</v>
      </c>
      <c r="W187" s="50">
        <f>IF($I187&gt;$P187,1,0)</f>
        <v>0</v>
      </c>
    </row>
    <row r="188" spans="1:23" x14ac:dyDescent="0.6">
      <c r="A188" s="41" t="s">
        <v>181</v>
      </c>
      <c r="B188" s="50">
        <v>50</v>
      </c>
      <c r="C188" s="51" t="s">
        <v>970</v>
      </c>
      <c r="D188" s="25" t="s">
        <v>978</v>
      </c>
      <c r="E188" s="25" t="s">
        <v>980</v>
      </c>
      <c r="F188" s="50">
        <v>7</v>
      </c>
      <c r="G188" s="50">
        <f t="shared" si="13"/>
        <v>1215</v>
      </c>
      <c r="H188" s="57">
        <v>1423</v>
      </c>
      <c r="I188" s="32">
        <v>1215</v>
      </c>
      <c r="J188" s="32">
        <v>1216</v>
      </c>
      <c r="K188" s="32">
        <v>5.01</v>
      </c>
      <c r="L188" s="46">
        <f t="shared" si="14"/>
        <v>17.119341563786008</v>
      </c>
      <c r="M188" s="46">
        <f t="shared" si="15"/>
        <v>0</v>
      </c>
      <c r="N188" s="46">
        <f t="shared" si="16"/>
        <v>8.2304526748971193E-2</v>
      </c>
      <c r="O188" s="41" t="s">
        <v>1</v>
      </c>
      <c r="P188" s="50">
        <v>1224</v>
      </c>
      <c r="Q188" s="30">
        <v>1229.4000000000001</v>
      </c>
      <c r="R188" s="33">
        <v>15.03269774</v>
      </c>
      <c r="S188" s="46">
        <f t="shared" si="17"/>
        <v>0.74074074074074081</v>
      </c>
      <c r="T188" s="46">
        <f t="shared" si="18"/>
        <v>1.1851851851851927</v>
      </c>
      <c r="U188" s="50">
        <f>IF($I188&lt;$P188,1,0)</f>
        <v>1</v>
      </c>
      <c r="V188" s="50">
        <f>IF($I188=$P188,1,0)</f>
        <v>0</v>
      </c>
      <c r="W188" s="50">
        <f>IF($I188&gt;$P188,1,0)</f>
        <v>0</v>
      </c>
    </row>
    <row r="189" spans="1:23" x14ac:dyDescent="0.6">
      <c r="A189" s="41" t="s">
        <v>182</v>
      </c>
      <c r="B189" s="50">
        <v>50</v>
      </c>
      <c r="C189" s="51" t="s">
        <v>970</v>
      </c>
      <c r="D189" s="25" t="s">
        <v>978</v>
      </c>
      <c r="E189" s="25" t="s">
        <v>980</v>
      </c>
      <c r="F189" s="50">
        <v>8</v>
      </c>
      <c r="G189" s="50">
        <f t="shared" si="13"/>
        <v>1233</v>
      </c>
      <c r="H189" s="57">
        <v>1373</v>
      </c>
      <c r="I189" s="32">
        <v>1233</v>
      </c>
      <c r="J189" s="32">
        <v>1233.8</v>
      </c>
      <c r="K189" s="32">
        <v>5</v>
      </c>
      <c r="L189" s="46">
        <f t="shared" si="14"/>
        <v>11.354420113544201</v>
      </c>
      <c r="M189" s="46">
        <f t="shared" si="15"/>
        <v>0</v>
      </c>
      <c r="N189" s="46">
        <f t="shared" si="16"/>
        <v>6.4882400648820324E-2</v>
      </c>
      <c r="O189" s="41" t="s">
        <v>1</v>
      </c>
      <c r="P189" s="50">
        <v>1244</v>
      </c>
      <c r="Q189" s="30">
        <v>1246.2</v>
      </c>
      <c r="R189" s="33">
        <v>13.80700934</v>
      </c>
      <c r="S189" s="46">
        <f t="shared" si="17"/>
        <v>0.89213300892133018</v>
      </c>
      <c r="T189" s="46">
        <f t="shared" si="18"/>
        <v>1.0705596107055997</v>
      </c>
      <c r="U189" s="50">
        <f>IF($I189&lt;$P189,1,0)</f>
        <v>1</v>
      </c>
      <c r="V189" s="50">
        <f>IF($I189=$P189,1,0)</f>
        <v>0</v>
      </c>
      <c r="W189" s="50">
        <f>IF($I189&gt;$P189,1,0)</f>
        <v>0</v>
      </c>
    </row>
    <row r="190" spans="1:23" x14ac:dyDescent="0.6">
      <c r="A190" s="41" t="s">
        <v>183</v>
      </c>
      <c r="B190" s="50">
        <v>50</v>
      </c>
      <c r="C190" s="51" t="s">
        <v>970</v>
      </c>
      <c r="D190" s="25" t="s">
        <v>978</v>
      </c>
      <c r="E190" s="25" t="s">
        <v>980</v>
      </c>
      <c r="F190" s="50">
        <v>9</v>
      </c>
      <c r="G190" s="50">
        <f t="shared" si="13"/>
        <v>1198</v>
      </c>
      <c r="H190" s="57">
        <v>1431</v>
      </c>
      <c r="I190" s="32">
        <v>1198</v>
      </c>
      <c r="J190" s="32">
        <v>1198.5999999999999</v>
      </c>
      <c r="K190" s="32">
        <v>5.01</v>
      </c>
      <c r="L190" s="46">
        <f t="shared" si="14"/>
        <v>19.449081803005008</v>
      </c>
      <c r="M190" s="46">
        <f t="shared" si="15"/>
        <v>0</v>
      </c>
      <c r="N190" s="46">
        <f t="shared" si="16"/>
        <v>5.008347245408256E-2</v>
      </c>
      <c r="O190" s="41" t="s">
        <v>1</v>
      </c>
      <c r="P190" s="50">
        <v>1211</v>
      </c>
      <c r="Q190" s="30">
        <v>1214</v>
      </c>
      <c r="R190" s="33">
        <v>13.8332579</v>
      </c>
      <c r="S190" s="46">
        <f t="shared" si="17"/>
        <v>1.0851419031719534</v>
      </c>
      <c r="T190" s="46">
        <f t="shared" si="18"/>
        <v>1.335559265442404</v>
      </c>
      <c r="U190" s="50">
        <f>IF($I190&lt;$P190,1,0)</f>
        <v>1</v>
      </c>
      <c r="V190" s="50">
        <f>IF($I190=$P190,1,0)</f>
        <v>0</v>
      </c>
      <c r="W190" s="50">
        <f>IF($I190&gt;$P190,1,0)</f>
        <v>0</v>
      </c>
    </row>
    <row r="191" spans="1:23" x14ac:dyDescent="0.6">
      <c r="A191" s="41" t="s">
        <v>184</v>
      </c>
      <c r="B191" s="50">
        <v>50</v>
      </c>
      <c r="C191" s="51" t="s">
        <v>970</v>
      </c>
      <c r="D191" s="25" t="s">
        <v>978</v>
      </c>
      <c r="E191" s="25" t="s">
        <v>980</v>
      </c>
      <c r="F191" s="50">
        <v>10</v>
      </c>
      <c r="G191" s="50">
        <f t="shared" si="13"/>
        <v>1204</v>
      </c>
      <c r="H191" s="57">
        <v>1451</v>
      </c>
      <c r="I191" s="32">
        <v>1204</v>
      </c>
      <c r="J191" s="32">
        <v>1205.5999999999999</v>
      </c>
      <c r="K191" s="32">
        <v>5.01</v>
      </c>
      <c r="L191" s="46">
        <f t="shared" si="14"/>
        <v>20.514950166112957</v>
      </c>
      <c r="M191" s="46">
        <f t="shared" si="15"/>
        <v>0</v>
      </c>
      <c r="N191" s="46">
        <f t="shared" si="16"/>
        <v>0.13289036544849742</v>
      </c>
      <c r="O191" s="41" t="s">
        <v>1</v>
      </c>
      <c r="P191" s="50">
        <v>1217</v>
      </c>
      <c r="Q191" s="30">
        <v>1221.2</v>
      </c>
      <c r="R191" s="33">
        <v>15.16270254</v>
      </c>
      <c r="S191" s="46">
        <f t="shared" si="17"/>
        <v>1.0797342192691028</v>
      </c>
      <c r="T191" s="46">
        <f t="shared" si="18"/>
        <v>1.4285714285714324</v>
      </c>
      <c r="U191" s="50">
        <f>IF($I191&lt;$P191,1,0)</f>
        <v>1</v>
      </c>
      <c r="V191" s="50">
        <f>IF($I191=$P191,1,0)</f>
        <v>0</v>
      </c>
      <c r="W191" s="50">
        <f>IF($I191&gt;$P191,1,0)</f>
        <v>0</v>
      </c>
    </row>
    <row r="192" spans="1:23" x14ac:dyDescent="0.6">
      <c r="A192" s="41" t="s">
        <v>185</v>
      </c>
      <c r="B192" s="50">
        <v>50</v>
      </c>
      <c r="C192" s="51" t="s">
        <v>970</v>
      </c>
      <c r="D192" s="25" t="s">
        <v>978</v>
      </c>
      <c r="E192" s="25" t="s">
        <v>984</v>
      </c>
      <c r="F192" s="50">
        <v>1</v>
      </c>
      <c r="G192" s="50">
        <f t="shared" si="13"/>
        <v>1229</v>
      </c>
      <c r="H192" s="57">
        <v>1575</v>
      </c>
      <c r="I192" s="32">
        <v>1229</v>
      </c>
      <c r="J192" s="32">
        <v>1229.4000000000001</v>
      </c>
      <c r="K192" s="32">
        <v>5.01</v>
      </c>
      <c r="L192" s="46">
        <f t="shared" si="14"/>
        <v>28.152969894222945</v>
      </c>
      <c r="M192" s="46">
        <f t="shared" si="15"/>
        <v>0</v>
      </c>
      <c r="N192" s="46">
        <f t="shared" si="16"/>
        <v>3.2546786004889416E-2</v>
      </c>
      <c r="O192" s="41" t="s">
        <v>1</v>
      </c>
      <c r="P192" s="50">
        <v>1239</v>
      </c>
      <c r="Q192" s="30">
        <v>1242.4000000000001</v>
      </c>
      <c r="R192" s="33">
        <v>14.362794620000001</v>
      </c>
      <c r="S192" s="46">
        <f t="shared" si="17"/>
        <v>0.8136696501220505</v>
      </c>
      <c r="T192" s="46">
        <f t="shared" si="18"/>
        <v>1.090317331163555</v>
      </c>
      <c r="U192" s="50">
        <f>IF($I192&lt;$P192,1,0)</f>
        <v>1</v>
      </c>
      <c r="V192" s="50">
        <f>IF($I192=$P192,1,0)</f>
        <v>0</v>
      </c>
      <c r="W192" s="50">
        <f>IF($I192&gt;$P192,1,0)</f>
        <v>0</v>
      </c>
    </row>
    <row r="193" spans="1:23" x14ac:dyDescent="0.6">
      <c r="A193" s="41" t="s">
        <v>186</v>
      </c>
      <c r="B193" s="50">
        <v>50</v>
      </c>
      <c r="C193" s="51" t="s">
        <v>970</v>
      </c>
      <c r="D193" s="25" t="s">
        <v>978</v>
      </c>
      <c r="E193" s="25" t="s">
        <v>984</v>
      </c>
      <c r="F193" s="50">
        <v>2</v>
      </c>
      <c r="G193" s="50">
        <f t="shared" si="13"/>
        <v>1195</v>
      </c>
      <c r="H193" s="57">
        <v>1470</v>
      </c>
      <c r="I193" s="32">
        <v>1195</v>
      </c>
      <c r="J193" s="32">
        <v>1196</v>
      </c>
      <c r="K193" s="32">
        <v>5.01</v>
      </c>
      <c r="L193" s="46">
        <f t="shared" si="14"/>
        <v>23.01255230125523</v>
      </c>
      <c r="M193" s="46">
        <f t="shared" si="15"/>
        <v>0</v>
      </c>
      <c r="N193" s="46">
        <f t="shared" si="16"/>
        <v>8.3682008368200833E-2</v>
      </c>
      <c r="O193" s="41" t="s">
        <v>1</v>
      </c>
      <c r="P193" s="50">
        <v>1203</v>
      </c>
      <c r="Q193" s="30">
        <v>1208</v>
      </c>
      <c r="R193" s="33">
        <v>14.218870259999999</v>
      </c>
      <c r="S193" s="46">
        <f t="shared" si="17"/>
        <v>0.66945606694560666</v>
      </c>
      <c r="T193" s="46">
        <f t="shared" si="18"/>
        <v>1.0878661087866108</v>
      </c>
      <c r="U193" s="50">
        <f>IF($I193&lt;$P193,1,0)</f>
        <v>1</v>
      </c>
      <c r="V193" s="50">
        <f>IF($I193=$P193,1,0)</f>
        <v>0</v>
      </c>
      <c r="W193" s="50">
        <f>IF($I193&gt;$P193,1,0)</f>
        <v>0</v>
      </c>
    </row>
    <row r="194" spans="1:23" x14ac:dyDescent="0.6">
      <c r="A194" s="41" t="s">
        <v>187</v>
      </c>
      <c r="B194" s="50">
        <v>50</v>
      </c>
      <c r="C194" s="51" t="s">
        <v>970</v>
      </c>
      <c r="D194" s="25" t="s">
        <v>978</v>
      </c>
      <c r="E194" s="25" t="s">
        <v>982</v>
      </c>
      <c r="F194" s="50">
        <v>3</v>
      </c>
      <c r="G194" s="50">
        <f t="shared" si="13"/>
        <v>1218</v>
      </c>
      <c r="H194" s="57">
        <v>1465</v>
      </c>
      <c r="I194" s="32">
        <v>1218</v>
      </c>
      <c r="J194" s="32">
        <v>1219.2</v>
      </c>
      <c r="K194" s="32">
        <v>5.01</v>
      </c>
      <c r="L194" s="46">
        <f t="shared" si="14"/>
        <v>20.279146141215108</v>
      </c>
      <c r="M194" s="46">
        <f t="shared" si="15"/>
        <v>0</v>
      </c>
      <c r="N194" s="46">
        <f t="shared" si="16"/>
        <v>9.8522167487688467E-2</v>
      </c>
      <c r="O194" s="41" t="s">
        <v>1</v>
      </c>
      <c r="P194" s="50">
        <v>1230</v>
      </c>
      <c r="Q194" s="30">
        <v>1231.5999999999999</v>
      </c>
      <c r="R194" s="33">
        <v>14.22750096</v>
      </c>
      <c r="S194" s="46">
        <f t="shared" si="17"/>
        <v>0.98522167487684731</v>
      </c>
      <c r="T194" s="46">
        <f t="shared" si="18"/>
        <v>1.1165845648604196</v>
      </c>
      <c r="U194" s="50">
        <f>IF($I194&lt;$P194,1,0)</f>
        <v>1</v>
      </c>
      <c r="V194" s="50">
        <f>IF($I194=$P194,1,0)</f>
        <v>0</v>
      </c>
      <c r="W194" s="50">
        <f>IF($I194&gt;$P194,1,0)</f>
        <v>0</v>
      </c>
    </row>
    <row r="195" spans="1:23" x14ac:dyDescent="0.6">
      <c r="A195" s="41" t="s">
        <v>188</v>
      </c>
      <c r="B195" s="50">
        <v>50</v>
      </c>
      <c r="C195" s="51" t="s">
        <v>970</v>
      </c>
      <c r="D195" s="25" t="s">
        <v>978</v>
      </c>
      <c r="E195" s="25" t="s">
        <v>982</v>
      </c>
      <c r="F195" s="50">
        <v>4</v>
      </c>
      <c r="G195" s="50">
        <f t="shared" ref="G195:G258" si="19">MIN(I195,P195)</f>
        <v>1208</v>
      </c>
      <c r="H195" s="57">
        <v>1451</v>
      </c>
      <c r="I195" s="32">
        <v>1208</v>
      </c>
      <c r="J195" s="32">
        <v>1208.8</v>
      </c>
      <c r="K195" s="32">
        <v>5.01</v>
      </c>
      <c r="L195" s="46">
        <f t="shared" ref="L195:L258" si="20">(H195-$G195)/$G195*100</f>
        <v>20.1158940397351</v>
      </c>
      <c r="M195" s="46">
        <f t="shared" ref="M195:M258" si="21">(I195-$G195)/$G195*100</f>
        <v>0</v>
      </c>
      <c r="N195" s="46">
        <f t="shared" ref="N195:N258" si="22">(J195-$G195)/$G195*100</f>
        <v>6.6225165562910152E-2</v>
      </c>
      <c r="O195" s="41" t="s">
        <v>1</v>
      </c>
      <c r="P195" s="50">
        <v>1216</v>
      </c>
      <c r="Q195" s="30">
        <v>1220.8</v>
      </c>
      <c r="R195" s="33">
        <v>13.9431444</v>
      </c>
      <c r="S195" s="46">
        <f t="shared" ref="S195:S258" si="23">(P195-$G195)/$G195*100</f>
        <v>0.66225165562913912</v>
      </c>
      <c r="T195" s="46">
        <f t="shared" ref="T195:T258" si="24">(Q195-$G195)/$G195*100</f>
        <v>1.0596026490066186</v>
      </c>
      <c r="U195" s="50">
        <f>IF($I195&lt;$P195,1,0)</f>
        <v>1</v>
      </c>
      <c r="V195" s="50">
        <f>IF($I195=$P195,1,0)</f>
        <v>0</v>
      </c>
      <c r="W195" s="50">
        <f>IF($I195&gt;$P195,1,0)</f>
        <v>0</v>
      </c>
    </row>
    <row r="196" spans="1:23" x14ac:dyDescent="0.6">
      <c r="A196" s="41" t="s">
        <v>189</v>
      </c>
      <c r="B196" s="50">
        <v>50</v>
      </c>
      <c r="C196" s="51" t="s">
        <v>970</v>
      </c>
      <c r="D196" s="25" t="s">
        <v>978</v>
      </c>
      <c r="E196" s="25" t="s">
        <v>982</v>
      </c>
      <c r="F196" s="50">
        <v>5</v>
      </c>
      <c r="G196" s="50">
        <f t="shared" si="19"/>
        <v>1201</v>
      </c>
      <c r="H196" s="57">
        <v>1568</v>
      </c>
      <c r="I196" s="32">
        <v>1201</v>
      </c>
      <c r="J196" s="32">
        <v>1201.4000000000001</v>
      </c>
      <c r="K196" s="32">
        <v>5.01</v>
      </c>
      <c r="L196" s="46">
        <f t="shared" si="20"/>
        <v>30.5578684429642</v>
      </c>
      <c r="M196" s="46">
        <f t="shared" si="21"/>
        <v>0</v>
      </c>
      <c r="N196" s="46">
        <f t="shared" si="22"/>
        <v>3.3305578684437218E-2</v>
      </c>
      <c r="O196" s="41" t="s">
        <v>1</v>
      </c>
      <c r="P196" s="50">
        <v>1205</v>
      </c>
      <c r="Q196" s="30">
        <v>1210.4000000000001</v>
      </c>
      <c r="R196" s="33">
        <v>14.116164400000001</v>
      </c>
      <c r="S196" s="46">
        <f t="shared" si="23"/>
        <v>0.33305578684429643</v>
      </c>
      <c r="T196" s="46">
        <f t="shared" si="24"/>
        <v>0.7826810990841041</v>
      </c>
      <c r="U196" s="50">
        <f>IF($I196&lt;$P196,1,0)</f>
        <v>1</v>
      </c>
      <c r="V196" s="50">
        <f>IF($I196=$P196,1,0)</f>
        <v>0</v>
      </c>
      <c r="W196" s="50">
        <f>IF($I196&gt;$P196,1,0)</f>
        <v>0</v>
      </c>
    </row>
    <row r="197" spans="1:23" x14ac:dyDescent="0.6">
      <c r="A197" s="41" t="s">
        <v>190</v>
      </c>
      <c r="B197" s="50">
        <v>50</v>
      </c>
      <c r="C197" s="51" t="s">
        <v>970</v>
      </c>
      <c r="D197" s="25" t="s">
        <v>978</v>
      </c>
      <c r="E197" s="25" t="s">
        <v>982</v>
      </c>
      <c r="F197" s="50">
        <v>6</v>
      </c>
      <c r="G197" s="50">
        <f t="shared" si="19"/>
        <v>1203</v>
      </c>
      <c r="H197" s="57">
        <v>1618</v>
      </c>
      <c r="I197" s="32">
        <v>1203</v>
      </c>
      <c r="J197" s="32">
        <v>1203.4000000000001</v>
      </c>
      <c r="K197" s="32">
        <v>5.01</v>
      </c>
      <c r="L197" s="46">
        <f t="shared" si="20"/>
        <v>34.497090606816293</v>
      </c>
      <c r="M197" s="46">
        <f t="shared" si="21"/>
        <v>0</v>
      </c>
      <c r="N197" s="46">
        <f t="shared" si="22"/>
        <v>3.3250207813806401E-2</v>
      </c>
      <c r="O197" s="41" t="s">
        <v>1</v>
      </c>
      <c r="P197" s="50">
        <v>1213</v>
      </c>
      <c r="Q197" s="30">
        <v>1215.2</v>
      </c>
      <c r="R197" s="33">
        <v>14.179556120000001</v>
      </c>
      <c r="S197" s="46">
        <f t="shared" si="23"/>
        <v>0.83125519534497094</v>
      </c>
      <c r="T197" s="46">
        <f t="shared" si="24"/>
        <v>1.0141313383208683</v>
      </c>
      <c r="U197" s="50">
        <f>IF($I197&lt;$P197,1,0)</f>
        <v>1</v>
      </c>
      <c r="V197" s="50">
        <f>IF($I197=$P197,1,0)</f>
        <v>0</v>
      </c>
      <c r="W197" s="50">
        <f>IF($I197&gt;$P197,1,0)</f>
        <v>0</v>
      </c>
    </row>
    <row r="198" spans="1:23" x14ac:dyDescent="0.6">
      <c r="A198" s="41" t="s">
        <v>191</v>
      </c>
      <c r="B198" s="50">
        <v>50</v>
      </c>
      <c r="C198" s="51" t="s">
        <v>970</v>
      </c>
      <c r="D198" s="25" t="s">
        <v>978</v>
      </c>
      <c r="E198" s="25" t="s">
        <v>982</v>
      </c>
      <c r="F198" s="50">
        <v>7</v>
      </c>
      <c r="G198" s="50">
        <f t="shared" si="19"/>
        <v>1216</v>
      </c>
      <c r="H198" s="57">
        <v>1603</v>
      </c>
      <c r="I198" s="32">
        <v>1216</v>
      </c>
      <c r="J198" s="32">
        <v>1216.8</v>
      </c>
      <c r="K198" s="32">
        <v>5.01</v>
      </c>
      <c r="L198" s="46">
        <f t="shared" si="20"/>
        <v>31.825657894736842</v>
      </c>
      <c r="M198" s="46">
        <f t="shared" si="21"/>
        <v>0</v>
      </c>
      <c r="N198" s="46">
        <f t="shared" si="22"/>
        <v>6.578947368420679E-2</v>
      </c>
      <c r="O198" s="41" t="s">
        <v>1</v>
      </c>
      <c r="P198" s="50">
        <v>1225</v>
      </c>
      <c r="Q198" s="30">
        <v>1228</v>
      </c>
      <c r="R198" s="33">
        <v>14.776117040000001</v>
      </c>
      <c r="S198" s="46">
        <f t="shared" si="23"/>
        <v>0.74013157894736836</v>
      </c>
      <c r="T198" s="46">
        <f t="shared" si="24"/>
        <v>0.98684210526315785</v>
      </c>
      <c r="U198" s="50">
        <f>IF($I198&lt;$P198,1,0)</f>
        <v>1</v>
      </c>
      <c r="V198" s="50">
        <f>IF($I198=$P198,1,0)</f>
        <v>0</v>
      </c>
      <c r="W198" s="50">
        <f>IF($I198&gt;$P198,1,0)</f>
        <v>0</v>
      </c>
    </row>
    <row r="199" spans="1:23" x14ac:dyDescent="0.6">
      <c r="A199" s="41" t="s">
        <v>192</v>
      </c>
      <c r="B199" s="50">
        <v>50</v>
      </c>
      <c r="C199" s="51" t="s">
        <v>970</v>
      </c>
      <c r="D199" s="25" t="s">
        <v>978</v>
      </c>
      <c r="E199" s="25" t="s">
        <v>982</v>
      </c>
      <c r="F199" s="50">
        <v>8</v>
      </c>
      <c r="G199" s="50">
        <f t="shared" si="19"/>
        <v>1233</v>
      </c>
      <c r="H199" s="57">
        <v>1493</v>
      </c>
      <c r="I199" s="32">
        <v>1233</v>
      </c>
      <c r="J199" s="32">
        <v>1233.5999999999999</v>
      </c>
      <c r="K199" s="32">
        <v>5.01</v>
      </c>
      <c r="L199" s="46">
        <f t="shared" si="20"/>
        <v>21.086780210867804</v>
      </c>
      <c r="M199" s="46">
        <f t="shared" si="21"/>
        <v>0</v>
      </c>
      <c r="N199" s="46">
        <f t="shared" si="22"/>
        <v>4.8661800486610632E-2</v>
      </c>
      <c r="O199" s="41" t="s">
        <v>1</v>
      </c>
      <c r="P199" s="50">
        <v>1240</v>
      </c>
      <c r="Q199" s="30">
        <v>1245.4000000000001</v>
      </c>
      <c r="R199" s="33">
        <v>13.512138139999999</v>
      </c>
      <c r="S199" s="46">
        <f t="shared" si="23"/>
        <v>0.56772100567721007</v>
      </c>
      <c r="T199" s="46">
        <f t="shared" si="24"/>
        <v>1.0056772100567795</v>
      </c>
      <c r="U199" s="50">
        <f>IF($I199&lt;$P199,1,0)</f>
        <v>1</v>
      </c>
      <c r="V199" s="50">
        <f>IF($I199=$P199,1,0)</f>
        <v>0</v>
      </c>
      <c r="W199" s="50">
        <f>IF($I199&gt;$P199,1,0)</f>
        <v>0</v>
      </c>
    </row>
    <row r="200" spans="1:23" x14ac:dyDescent="0.6">
      <c r="A200" s="41" t="s">
        <v>193</v>
      </c>
      <c r="B200" s="50">
        <v>50</v>
      </c>
      <c r="C200" s="51" t="s">
        <v>970</v>
      </c>
      <c r="D200" s="25" t="s">
        <v>978</v>
      </c>
      <c r="E200" s="25" t="s">
        <v>982</v>
      </c>
      <c r="F200" s="50">
        <v>9</v>
      </c>
      <c r="G200" s="50">
        <f t="shared" si="19"/>
        <v>1198</v>
      </c>
      <c r="H200" s="57">
        <v>1639</v>
      </c>
      <c r="I200" s="32">
        <v>1198</v>
      </c>
      <c r="J200" s="32">
        <v>1199.2</v>
      </c>
      <c r="K200" s="32">
        <v>5.01</v>
      </c>
      <c r="L200" s="46">
        <f t="shared" si="20"/>
        <v>36.811352253756262</v>
      </c>
      <c r="M200" s="46">
        <f t="shared" si="21"/>
        <v>0</v>
      </c>
      <c r="N200" s="46">
        <f t="shared" si="22"/>
        <v>0.10016694490818409</v>
      </c>
      <c r="O200" s="41" t="s">
        <v>1</v>
      </c>
      <c r="P200" s="50">
        <v>1206</v>
      </c>
      <c r="Q200" s="30">
        <v>1210.4000000000001</v>
      </c>
      <c r="R200" s="33">
        <v>14.780947100000001</v>
      </c>
      <c r="S200" s="46">
        <f t="shared" si="23"/>
        <v>0.667779632721202</v>
      </c>
      <c r="T200" s="46">
        <f t="shared" si="24"/>
        <v>1.0350584307178707</v>
      </c>
      <c r="U200" s="50">
        <f>IF($I200&lt;$P200,1,0)</f>
        <v>1</v>
      </c>
      <c r="V200" s="50">
        <f>IF($I200=$P200,1,0)</f>
        <v>0</v>
      </c>
      <c r="W200" s="50">
        <f>IF($I200&gt;$P200,1,0)</f>
        <v>0</v>
      </c>
    </row>
    <row r="201" spans="1:23" x14ac:dyDescent="0.6">
      <c r="A201" s="41" t="s">
        <v>194</v>
      </c>
      <c r="B201" s="50">
        <v>50</v>
      </c>
      <c r="C201" s="51" t="s">
        <v>970</v>
      </c>
      <c r="D201" s="25" t="s">
        <v>978</v>
      </c>
      <c r="E201" s="25" t="s">
        <v>982</v>
      </c>
      <c r="F201" s="50">
        <v>10</v>
      </c>
      <c r="G201" s="50">
        <f t="shared" si="19"/>
        <v>1206</v>
      </c>
      <c r="H201" s="57">
        <v>1666</v>
      </c>
      <c r="I201" s="32">
        <v>1206</v>
      </c>
      <c r="J201" s="32">
        <v>1207.5999999999999</v>
      </c>
      <c r="K201" s="32">
        <v>5.01</v>
      </c>
      <c r="L201" s="46">
        <f t="shared" si="20"/>
        <v>38.142620232172469</v>
      </c>
      <c r="M201" s="46">
        <f t="shared" si="21"/>
        <v>0</v>
      </c>
      <c r="N201" s="46">
        <f t="shared" si="22"/>
        <v>0.13266998341624453</v>
      </c>
      <c r="O201" s="41" t="s">
        <v>1</v>
      </c>
      <c r="P201" s="50">
        <v>1217</v>
      </c>
      <c r="Q201" s="30">
        <v>1221</v>
      </c>
      <c r="R201" s="33">
        <v>15.16035694</v>
      </c>
      <c r="S201" s="46">
        <f t="shared" si="23"/>
        <v>0.91210613598673307</v>
      </c>
      <c r="T201" s="46">
        <f t="shared" si="24"/>
        <v>1.2437810945273633</v>
      </c>
      <c r="U201" s="50">
        <f>IF($I201&lt;$P201,1,0)</f>
        <v>1</v>
      </c>
      <c r="V201" s="50">
        <f>IF($I201=$P201,1,0)</f>
        <v>0</v>
      </c>
      <c r="W201" s="50">
        <f>IF($I201&gt;$P201,1,0)</f>
        <v>0</v>
      </c>
    </row>
    <row r="202" spans="1:23" x14ac:dyDescent="0.6">
      <c r="A202" s="41" t="s">
        <v>195</v>
      </c>
      <c r="B202" s="50">
        <v>50</v>
      </c>
      <c r="C202" s="25" t="s">
        <v>974</v>
      </c>
      <c r="D202" s="25" t="s">
        <v>977</v>
      </c>
      <c r="E202" s="25" t="s">
        <v>981</v>
      </c>
      <c r="F202" s="50">
        <v>1</v>
      </c>
      <c r="G202" s="50">
        <f t="shared" si="19"/>
        <v>1482</v>
      </c>
      <c r="H202" s="57">
        <v>1695</v>
      </c>
      <c r="I202" s="32">
        <v>1482</v>
      </c>
      <c r="J202" s="32">
        <v>1483.4</v>
      </c>
      <c r="K202" s="32">
        <v>5.01</v>
      </c>
      <c r="L202" s="46">
        <f t="shared" si="20"/>
        <v>14.37246963562753</v>
      </c>
      <c r="M202" s="46">
        <f t="shared" si="21"/>
        <v>0</v>
      </c>
      <c r="N202" s="46">
        <f t="shared" si="22"/>
        <v>9.4466936572205867E-2</v>
      </c>
      <c r="O202" s="41" t="s">
        <v>1</v>
      </c>
      <c r="P202" s="50">
        <v>1497</v>
      </c>
      <c r="Q202" s="30">
        <v>1499.4</v>
      </c>
      <c r="R202" s="33">
        <v>13.76712674</v>
      </c>
      <c r="S202" s="46">
        <f t="shared" si="23"/>
        <v>1.0121457489878543</v>
      </c>
      <c r="T202" s="46">
        <f t="shared" si="24"/>
        <v>1.1740890688259171</v>
      </c>
      <c r="U202" s="50">
        <f>IF($I202&lt;$P202,1,0)</f>
        <v>1</v>
      </c>
      <c r="V202" s="50">
        <f>IF($I202=$P202,1,0)</f>
        <v>0</v>
      </c>
      <c r="W202" s="50">
        <f>IF($I202&gt;$P202,1,0)</f>
        <v>0</v>
      </c>
    </row>
    <row r="203" spans="1:23" x14ac:dyDescent="0.6">
      <c r="A203" s="41" t="s">
        <v>196</v>
      </c>
      <c r="B203" s="50">
        <v>50</v>
      </c>
      <c r="C203" s="25" t="s">
        <v>974</v>
      </c>
      <c r="D203" s="25" t="s">
        <v>977</v>
      </c>
      <c r="E203" s="25" t="s">
        <v>983</v>
      </c>
      <c r="F203" s="50">
        <v>2</v>
      </c>
      <c r="G203" s="50">
        <f t="shared" si="19"/>
        <v>1450</v>
      </c>
      <c r="H203" s="57">
        <v>1635</v>
      </c>
      <c r="I203" s="32">
        <v>1450</v>
      </c>
      <c r="J203" s="32">
        <v>1450.4</v>
      </c>
      <c r="K203" s="32">
        <v>5</v>
      </c>
      <c r="L203" s="46">
        <f t="shared" si="20"/>
        <v>12.758620689655173</v>
      </c>
      <c r="M203" s="46">
        <f t="shared" si="21"/>
        <v>0</v>
      </c>
      <c r="N203" s="46">
        <f t="shared" si="22"/>
        <v>2.7586206896557997E-2</v>
      </c>
      <c r="O203" s="41" t="s">
        <v>1</v>
      </c>
      <c r="P203" s="50">
        <v>1461</v>
      </c>
      <c r="Q203" s="30">
        <v>1463</v>
      </c>
      <c r="R203" s="33">
        <v>13.564457239999999</v>
      </c>
      <c r="S203" s="46">
        <f t="shared" si="23"/>
        <v>0.75862068965517238</v>
      </c>
      <c r="T203" s="46">
        <f t="shared" si="24"/>
        <v>0.89655172413793094</v>
      </c>
      <c r="U203" s="50">
        <f>IF($I203&lt;$P203,1,0)</f>
        <v>1</v>
      </c>
      <c r="V203" s="50">
        <f>IF($I203=$P203,1,0)</f>
        <v>0</v>
      </c>
      <c r="W203" s="50">
        <f>IF($I203&gt;$P203,1,0)</f>
        <v>0</v>
      </c>
    </row>
    <row r="204" spans="1:23" x14ac:dyDescent="0.6">
      <c r="A204" s="41" t="s">
        <v>197</v>
      </c>
      <c r="B204" s="50">
        <v>50</v>
      </c>
      <c r="C204" s="25" t="s">
        <v>973</v>
      </c>
      <c r="D204" s="25" t="s">
        <v>976</v>
      </c>
      <c r="E204" s="25" t="s">
        <v>980</v>
      </c>
      <c r="F204" s="50">
        <v>3</v>
      </c>
      <c r="G204" s="50">
        <f t="shared" si="19"/>
        <v>1473</v>
      </c>
      <c r="H204" s="57">
        <v>1620</v>
      </c>
      <c r="I204" s="32">
        <v>1473</v>
      </c>
      <c r="J204" s="32">
        <v>1473.6</v>
      </c>
      <c r="K204" s="32">
        <v>5.01</v>
      </c>
      <c r="L204" s="46">
        <f t="shared" si="20"/>
        <v>9.9796334012219958</v>
      </c>
      <c r="M204" s="46">
        <f t="shared" si="21"/>
        <v>0</v>
      </c>
      <c r="N204" s="46">
        <f t="shared" si="22"/>
        <v>4.0733197556001972E-2</v>
      </c>
      <c r="O204" s="41" t="s">
        <v>1</v>
      </c>
      <c r="P204" s="50">
        <v>1484</v>
      </c>
      <c r="Q204" s="30">
        <v>1488.2</v>
      </c>
      <c r="R204" s="33">
        <v>13.777963700000001</v>
      </c>
      <c r="S204" s="46">
        <f t="shared" si="23"/>
        <v>0.74677528852681607</v>
      </c>
      <c r="T204" s="46">
        <f t="shared" si="24"/>
        <v>1.0319076714188762</v>
      </c>
      <c r="U204" s="50">
        <f>IF($I204&lt;$P204,1,0)</f>
        <v>1</v>
      </c>
      <c r="V204" s="50">
        <f>IF($I204=$P204,1,0)</f>
        <v>0</v>
      </c>
      <c r="W204" s="50">
        <f>IF($I204&gt;$P204,1,0)</f>
        <v>0</v>
      </c>
    </row>
    <row r="205" spans="1:23" x14ac:dyDescent="0.6">
      <c r="A205" s="41" t="s">
        <v>198</v>
      </c>
      <c r="B205" s="50">
        <v>50</v>
      </c>
      <c r="C205" s="25" t="s">
        <v>973</v>
      </c>
      <c r="D205" s="25" t="s">
        <v>976</v>
      </c>
      <c r="E205" s="25" t="s">
        <v>980</v>
      </c>
      <c r="F205" s="50">
        <v>4</v>
      </c>
      <c r="G205" s="50">
        <f t="shared" si="19"/>
        <v>1463</v>
      </c>
      <c r="H205" s="57">
        <v>1624</v>
      </c>
      <c r="I205" s="32">
        <v>1463</v>
      </c>
      <c r="J205" s="32">
        <v>1463.8</v>
      </c>
      <c r="K205" s="32">
        <v>5.01</v>
      </c>
      <c r="L205" s="46">
        <f t="shared" si="20"/>
        <v>11.004784688995215</v>
      </c>
      <c r="M205" s="46">
        <f t="shared" si="21"/>
        <v>0</v>
      </c>
      <c r="N205" s="46">
        <f t="shared" si="22"/>
        <v>5.4682159945314737E-2</v>
      </c>
      <c r="O205" s="41" t="s">
        <v>1</v>
      </c>
      <c r="P205" s="50">
        <v>1471</v>
      </c>
      <c r="Q205" s="30">
        <v>1475.2</v>
      </c>
      <c r="R205" s="33">
        <v>13.68513516</v>
      </c>
      <c r="S205" s="46">
        <f t="shared" si="23"/>
        <v>0.54682159945317843</v>
      </c>
      <c r="T205" s="46">
        <f t="shared" si="24"/>
        <v>0.83390293916610014</v>
      </c>
      <c r="U205" s="50">
        <f>IF($I205&lt;$P205,1,0)</f>
        <v>1</v>
      </c>
      <c r="V205" s="50">
        <f>IF($I205=$P205,1,0)</f>
        <v>0</v>
      </c>
      <c r="W205" s="50">
        <f>IF($I205&gt;$P205,1,0)</f>
        <v>0</v>
      </c>
    </row>
    <row r="206" spans="1:23" x14ac:dyDescent="0.6">
      <c r="A206" s="41" t="s">
        <v>199</v>
      </c>
      <c r="B206" s="50">
        <v>50</v>
      </c>
      <c r="C206" s="25" t="s">
        <v>973</v>
      </c>
      <c r="D206" s="25" t="s">
        <v>976</v>
      </c>
      <c r="E206" s="25" t="s">
        <v>980</v>
      </c>
      <c r="F206" s="50">
        <v>5</v>
      </c>
      <c r="G206" s="50">
        <f t="shared" si="19"/>
        <v>1454</v>
      </c>
      <c r="H206" s="57">
        <v>1696</v>
      </c>
      <c r="I206" s="32">
        <v>1454</v>
      </c>
      <c r="J206" s="32">
        <v>1455.4</v>
      </c>
      <c r="K206" s="32">
        <v>5.01</v>
      </c>
      <c r="L206" s="46">
        <f t="shared" si="20"/>
        <v>16.643741403026134</v>
      </c>
      <c r="M206" s="46">
        <f t="shared" si="21"/>
        <v>0</v>
      </c>
      <c r="N206" s="46">
        <f t="shared" si="22"/>
        <v>9.6286107290240092E-2</v>
      </c>
      <c r="O206" s="41" t="s">
        <v>1</v>
      </c>
      <c r="P206" s="50">
        <v>1466</v>
      </c>
      <c r="Q206" s="30">
        <v>1467.4</v>
      </c>
      <c r="R206" s="33">
        <v>13.62088426</v>
      </c>
      <c r="S206" s="46">
        <f t="shared" si="23"/>
        <v>0.82530949105914708</v>
      </c>
      <c r="T206" s="46">
        <f t="shared" si="24"/>
        <v>0.92159559834938731</v>
      </c>
      <c r="U206" s="50">
        <f>IF($I206&lt;$P206,1,0)</f>
        <v>1</v>
      </c>
      <c r="V206" s="50">
        <f>IF($I206=$P206,1,0)</f>
        <v>0</v>
      </c>
      <c r="W206" s="50">
        <f>IF($I206&gt;$P206,1,0)</f>
        <v>0</v>
      </c>
    </row>
    <row r="207" spans="1:23" x14ac:dyDescent="0.6">
      <c r="A207" s="41" t="s">
        <v>200</v>
      </c>
      <c r="B207" s="50">
        <v>50</v>
      </c>
      <c r="C207" s="25" t="s">
        <v>973</v>
      </c>
      <c r="D207" s="25" t="s">
        <v>976</v>
      </c>
      <c r="E207" s="25" t="s">
        <v>980</v>
      </c>
      <c r="F207" s="50">
        <v>6</v>
      </c>
      <c r="G207" s="50">
        <f t="shared" si="19"/>
        <v>1457</v>
      </c>
      <c r="H207" s="57">
        <v>1723</v>
      </c>
      <c r="I207" s="32">
        <v>1457</v>
      </c>
      <c r="J207" s="32">
        <v>1458</v>
      </c>
      <c r="K207" s="32">
        <v>5</v>
      </c>
      <c r="L207" s="46">
        <f t="shared" si="20"/>
        <v>18.256691832532603</v>
      </c>
      <c r="M207" s="46">
        <f t="shared" si="21"/>
        <v>0</v>
      </c>
      <c r="N207" s="46">
        <f t="shared" si="22"/>
        <v>6.8634179821551136E-2</v>
      </c>
      <c r="O207" s="41" t="s">
        <v>1</v>
      </c>
      <c r="P207" s="50">
        <v>1467</v>
      </c>
      <c r="Q207" s="30">
        <v>1472.2</v>
      </c>
      <c r="R207" s="33">
        <v>13.77634202</v>
      </c>
      <c r="S207" s="46">
        <f t="shared" si="23"/>
        <v>0.68634179821551133</v>
      </c>
      <c r="T207" s="46">
        <f t="shared" si="24"/>
        <v>1.0432395332875803</v>
      </c>
      <c r="U207" s="50">
        <f>IF($I207&lt;$P207,1,0)</f>
        <v>1</v>
      </c>
      <c r="V207" s="50">
        <f>IF($I207=$P207,1,0)</f>
        <v>0</v>
      </c>
      <c r="W207" s="50">
        <f>IF($I207&gt;$P207,1,0)</f>
        <v>0</v>
      </c>
    </row>
    <row r="208" spans="1:23" x14ac:dyDescent="0.6">
      <c r="A208" s="41" t="s">
        <v>201</v>
      </c>
      <c r="B208" s="50">
        <v>50</v>
      </c>
      <c r="C208" s="25" t="s">
        <v>973</v>
      </c>
      <c r="D208" s="25" t="s">
        <v>976</v>
      </c>
      <c r="E208" s="25" t="s">
        <v>980</v>
      </c>
      <c r="F208" s="50">
        <v>7</v>
      </c>
      <c r="G208" s="50">
        <f t="shared" si="19"/>
        <v>1470</v>
      </c>
      <c r="H208" s="57">
        <v>1723</v>
      </c>
      <c r="I208" s="32">
        <v>1470</v>
      </c>
      <c r="J208" s="32">
        <v>1470.8</v>
      </c>
      <c r="K208" s="32">
        <v>5.01</v>
      </c>
      <c r="L208" s="46">
        <f t="shared" si="20"/>
        <v>17.210884353741495</v>
      </c>
      <c r="M208" s="46">
        <f t="shared" si="21"/>
        <v>0</v>
      </c>
      <c r="N208" s="46">
        <f t="shared" si="22"/>
        <v>5.4421768707479903E-2</v>
      </c>
      <c r="O208" s="41" t="s">
        <v>1</v>
      </c>
      <c r="P208" s="50">
        <v>1482</v>
      </c>
      <c r="Q208" s="30">
        <v>1486.6</v>
      </c>
      <c r="R208" s="33">
        <v>14.818346399999999</v>
      </c>
      <c r="S208" s="46">
        <f t="shared" si="23"/>
        <v>0.81632653061224492</v>
      </c>
      <c r="T208" s="46">
        <f t="shared" si="24"/>
        <v>1.129251700680266</v>
      </c>
      <c r="U208" s="50">
        <f>IF($I208&lt;$P208,1,0)</f>
        <v>1</v>
      </c>
      <c r="V208" s="50">
        <f>IF($I208=$P208,1,0)</f>
        <v>0</v>
      </c>
      <c r="W208" s="50">
        <f>IF($I208&gt;$P208,1,0)</f>
        <v>0</v>
      </c>
    </row>
    <row r="209" spans="1:23" x14ac:dyDescent="0.6">
      <c r="A209" s="41" t="s">
        <v>202</v>
      </c>
      <c r="B209" s="50">
        <v>50</v>
      </c>
      <c r="C209" s="25" t="s">
        <v>973</v>
      </c>
      <c r="D209" s="25" t="s">
        <v>976</v>
      </c>
      <c r="E209" s="25" t="s">
        <v>980</v>
      </c>
      <c r="F209" s="50">
        <v>8</v>
      </c>
      <c r="G209" s="50">
        <f t="shared" si="19"/>
        <v>1487</v>
      </c>
      <c r="H209" s="57">
        <v>1658</v>
      </c>
      <c r="I209" s="32">
        <v>1487</v>
      </c>
      <c r="J209" s="32">
        <v>1488.4</v>
      </c>
      <c r="K209" s="32">
        <v>5.01</v>
      </c>
      <c r="L209" s="46">
        <f t="shared" si="20"/>
        <v>11.499663752521856</v>
      </c>
      <c r="M209" s="46">
        <f t="shared" si="21"/>
        <v>0</v>
      </c>
      <c r="N209" s="46">
        <f t="shared" si="22"/>
        <v>9.4149293880302021E-2</v>
      </c>
      <c r="O209" s="41" t="s">
        <v>1</v>
      </c>
      <c r="P209" s="50">
        <v>1498</v>
      </c>
      <c r="Q209" s="30">
        <v>1505.8</v>
      </c>
      <c r="R209" s="33">
        <v>13.04811874</v>
      </c>
      <c r="S209" s="46">
        <f t="shared" si="23"/>
        <v>0.73974445191661065</v>
      </c>
      <c r="T209" s="46">
        <f t="shared" si="24"/>
        <v>1.2642905178211132</v>
      </c>
      <c r="U209" s="50">
        <f>IF($I209&lt;$P209,1,0)</f>
        <v>1</v>
      </c>
      <c r="V209" s="50">
        <f>IF($I209=$P209,1,0)</f>
        <v>0</v>
      </c>
      <c r="W209" s="50">
        <f>IF($I209&gt;$P209,1,0)</f>
        <v>0</v>
      </c>
    </row>
    <row r="210" spans="1:23" x14ac:dyDescent="0.6">
      <c r="A210" s="41" t="s">
        <v>203</v>
      </c>
      <c r="B210" s="50">
        <v>50</v>
      </c>
      <c r="C210" s="25" t="s">
        <v>973</v>
      </c>
      <c r="D210" s="25" t="s">
        <v>976</v>
      </c>
      <c r="E210" s="25" t="s">
        <v>980</v>
      </c>
      <c r="F210" s="50">
        <v>9</v>
      </c>
      <c r="G210" s="50">
        <f t="shared" si="19"/>
        <v>1453</v>
      </c>
      <c r="H210" s="57">
        <v>1731</v>
      </c>
      <c r="I210" s="32">
        <v>1453</v>
      </c>
      <c r="J210" s="32">
        <v>1453.6</v>
      </c>
      <c r="K210" s="32">
        <v>5.01</v>
      </c>
      <c r="L210" s="46">
        <f t="shared" si="20"/>
        <v>19.132828630419819</v>
      </c>
      <c r="M210" s="46">
        <f t="shared" si="21"/>
        <v>0</v>
      </c>
      <c r="N210" s="46">
        <f t="shared" si="22"/>
        <v>4.1293874741907023E-2</v>
      </c>
      <c r="O210" s="41" t="s">
        <v>1</v>
      </c>
      <c r="P210" s="50">
        <v>1466</v>
      </c>
      <c r="Q210" s="30">
        <v>1468</v>
      </c>
      <c r="R210" s="33">
        <v>13.86518002</v>
      </c>
      <c r="S210" s="46">
        <f t="shared" si="23"/>
        <v>0.89470061940812118</v>
      </c>
      <c r="T210" s="46">
        <f t="shared" si="24"/>
        <v>1.0323468685478321</v>
      </c>
      <c r="U210" s="50">
        <f>IF($I210&lt;$P210,1,0)</f>
        <v>1</v>
      </c>
      <c r="V210" s="50">
        <f>IF($I210=$P210,1,0)</f>
        <v>0</v>
      </c>
      <c r="W210" s="50">
        <f>IF($I210&gt;$P210,1,0)</f>
        <v>0</v>
      </c>
    </row>
    <row r="211" spans="1:23" x14ac:dyDescent="0.6">
      <c r="A211" s="41" t="s">
        <v>204</v>
      </c>
      <c r="B211" s="50">
        <v>50</v>
      </c>
      <c r="C211" s="25" t="s">
        <v>973</v>
      </c>
      <c r="D211" s="25" t="s">
        <v>976</v>
      </c>
      <c r="E211" s="25" t="s">
        <v>980</v>
      </c>
      <c r="F211" s="50">
        <v>10</v>
      </c>
      <c r="G211" s="50">
        <f t="shared" si="19"/>
        <v>1459</v>
      </c>
      <c r="H211" s="57">
        <v>1756</v>
      </c>
      <c r="I211" s="32">
        <v>1459</v>
      </c>
      <c r="J211" s="32">
        <v>1460.6</v>
      </c>
      <c r="K211" s="32">
        <v>5</v>
      </c>
      <c r="L211" s="46">
        <f t="shared" si="20"/>
        <v>20.356408498971899</v>
      </c>
      <c r="M211" s="46">
        <f t="shared" si="21"/>
        <v>0</v>
      </c>
      <c r="N211" s="46">
        <f t="shared" si="22"/>
        <v>0.10966415352980871</v>
      </c>
      <c r="O211" s="41" t="s">
        <v>1</v>
      </c>
      <c r="P211" s="50">
        <v>1470</v>
      </c>
      <c r="Q211" s="30">
        <v>1475</v>
      </c>
      <c r="R211" s="33">
        <v>15.102010140000001</v>
      </c>
      <c r="S211" s="46">
        <f t="shared" si="23"/>
        <v>0.7539410555174777</v>
      </c>
      <c r="T211" s="46">
        <f t="shared" si="24"/>
        <v>1.0966415352981496</v>
      </c>
      <c r="U211" s="50">
        <f>IF($I211&lt;$P211,1,0)</f>
        <v>1</v>
      </c>
      <c r="V211" s="50">
        <f>IF($I211=$P211,1,0)</f>
        <v>0</v>
      </c>
      <c r="W211" s="50">
        <f>IF($I211&gt;$P211,1,0)</f>
        <v>0</v>
      </c>
    </row>
    <row r="212" spans="1:23" x14ac:dyDescent="0.6">
      <c r="A212" s="41" t="s">
        <v>205</v>
      </c>
      <c r="B212" s="50">
        <v>50</v>
      </c>
      <c r="C212" s="25" t="s">
        <v>973</v>
      </c>
      <c r="D212" s="25" t="s">
        <v>976</v>
      </c>
      <c r="E212" s="25" t="s">
        <v>984</v>
      </c>
      <c r="F212" s="50">
        <v>1</v>
      </c>
      <c r="G212" s="50">
        <f t="shared" si="19"/>
        <v>1484</v>
      </c>
      <c r="H212" s="57">
        <v>1875</v>
      </c>
      <c r="I212" s="32">
        <v>1484</v>
      </c>
      <c r="J212" s="32">
        <v>1484.6</v>
      </c>
      <c r="K212" s="32">
        <v>5.01</v>
      </c>
      <c r="L212" s="46">
        <f t="shared" si="20"/>
        <v>26.347708894878707</v>
      </c>
      <c r="M212" s="46">
        <f t="shared" si="21"/>
        <v>0</v>
      </c>
      <c r="N212" s="46">
        <f t="shared" si="22"/>
        <v>4.0431266846355056E-2</v>
      </c>
      <c r="O212" s="41" t="s">
        <v>1</v>
      </c>
      <c r="P212" s="50">
        <v>1498</v>
      </c>
      <c r="Q212" s="30">
        <v>1501.6</v>
      </c>
      <c r="R212" s="33">
        <v>14.12065584</v>
      </c>
      <c r="S212" s="46">
        <f t="shared" si="23"/>
        <v>0.94339622641509435</v>
      </c>
      <c r="T212" s="46">
        <f t="shared" si="24"/>
        <v>1.1859838274932553</v>
      </c>
      <c r="U212" s="50">
        <f>IF($I212&lt;$P212,1,0)</f>
        <v>1</v>
      </c>
      <c r="V212" s="50">
        <f>IF($I212=$P212,1,0)</f>
        <v>0</v>
      </c>
      <c r="W212" s="50">
        <f>IF($I212&gt;$P212,1,0)</f>
        <v>0</v>
      </c>
    </row>
    <row r="213" spans="1:23" x14ac:dyDescent="0.6">
      <c r="A213" s="41" t="s">
        <v>206</v>
      </c>
      <c r="B213" s="50">
        <v>50</v>
      </c>
      <c r="C213" s="25" t="s">
        <v>973</v>
      </c>
      <c r="D213" s="25" t="s">
        <v>976</v>
      </c>
      <c r="E213" s="25" t="s">
        <v>984</v>
      </c>
      <c r="F213" s="50">
        <v>2</v>
      </c>
      <c r="G213" s="50">
        <f t="shared" si="19"/>
        <v>1449</v>
      </c>
      <c r="H213" s="57">
        <v>1755</v>
      </c>
      <c r="I213" s="32">
        <v>1449</v>
      </c>
      <c r="J213" s="32">
        <v>1450.6</v>
      </c>
      <c r="K213" s="32">
        <v>5.01</v>
      </c>
      <c r="L213" s="46">
        <f t="shared" si="20"/>
        <v>21.118012422360248</v>
      </c>
      <c r="M213" s="46">
        <f t="shared" si="21"/>
        <v>0</v>
      </c>
      <c r="N213" s="46">
        <f t="shared" si="22"/>
        <v>0.11042097998619109</v>
      </c>
      <c r="O213" s="41" t="s">
        <v>1</v>
      </c>
      <c r="P213" s="50">
        <v>1459</v>
      </c>
      <c r="Q213" s="30">
        <v>1461.6</v>
      </c>
      <c r="R213" s="33">
        <v>13.83416248</v>
      </c>
      <c r="S213" s="46">
        <f t="shared" si="23"/>
        <v>0.69013112491373363</v>
      </c>
      <c r="T213" s="46">
        <f t="shared" si="24"/>
        <v>0.86956521739129811</v>
      </c>
      <c r="U213" s="50">
        <f>IF($I213&lt;$P213,1,0)</f>
        <v>1</v>
      </c>
      <c r="V213" s="50">
        <f>IF($I213=$P213,1,0)</f>
        <v>0</v>
      </c>
      <c r="W213" s="50">
        <f>IF($I213&gt;$P213,1,0)</f>
        <v>0</v>
      </c>
    </row>
    <row r="214" spans="1:23" x14ac:dyDescent="0.6">
      <c r="A214" s="41" t="s">
        <v>207</v>
      </c>
      <c r="B214" s="50">
        <v>50</v>
      </c>
      <c r="C214" s="25" t="s">
        <v>973</v>
      </c>
      <c r="D214" s="25" t="s">
        <v>976</v>
      </c>
      <c r="E214" s="25" t="s">
        <v>982</v>
      </c>
      <c r="F214" s="50">
        <v>3</v>
      </c>
      <c r="G214" s="50">
        <f t="shared" si="19"/>
        <v>1474</v>
      </c>
      <c r="H214" s="57">
        <v>1740</v>
      </c>
      <c r="I214" s="32">
        <v>1474</v>
      </c>
      <c r="J214" s="32">
        <v>1474</v>
      </c>
      <c r="K214" s="32">
        <v>5.01</v>
      </c>
      <c r="L214" s="46">
        <f t="shared" si="20"/>
        <v>18.046132971506108</v>
      </c>
      <c r="M214" s="46">
        <f t="shared" si="21"/>
        <v>0</v>
      </c>
      <c r="N214" s="46">
        <f t="shared" si="22"/>
        <v>0</v>
      </c>
      <c r="O214" s="41" t="s">
        <v>1</v>
      </c>
      <c r="P214" s="50">
        <v>1484</v>
      </c>
      <c r="Q214" s="30">
        <v>1487.8</v>
      </c>
      <c r="R214" s="33">
        <v>14.432346320000001</v>
      </c>
      <c r="S214" s="46">
        <f t="shared" si="23"/>
        <v>0.67842605156037994</v>
      </c>
      <c r="T214" s="46">
        <f t="shared" si="24"/>
        <v>0.93622795115332125</v>
      </c>
      <c r="U214" s="50">
        <f>IF($I214&lt;$P214,1,0)</f>
        <v>1</v>
      </c>
      <c r="V214" s="50">
        <f>IF($I214=$P214,1,0)</f>
        <v>0</v>
      </c>
      <c r="W214" s="50">
        <f>IF($I214&gt;$P214,1,0)</f>
        <v>0</v>
      </c>
    </row>
    <row r="215" spans="1:23" x14ac:dyDescent="0.6">
      <c r="A215" s="41" t="s">
        <v>208</v>
      </c>
      <c r="B215" s="50">
        <v>50</v>
      </c>
      <c r="C215" s="25" t="s">
        <v>973</v>
      </c>
      <c r="D215" s="25" t="s">
        <v>976</v>
      </c>
      <c r="E215" s="25" t="s">
        <v>982</v>
      </c>
      <c r="F215" s="50">
        <v>4</v>
      </c>
      <c r="G215" s="50">
        <f t="shared" si="19"/>
        <v>1463</v>
      </c>
      <c r="H215" s="57">
        <v>1731</v>
      </c>
      <c r="I215" s="32">
        <v>1463</v>
      </c>
      <c r="J215" s="32">
        <v>1463.8</v>
      </c>
      <c r="K215" s="32">
        <v>5.01</v>
      </c>
      <c r="L215" s="46">
        <f t="shared" si="20"/>
        <v>18.318523581681475</v>
      </c>
      <c r="M215" s="46">
        <f t="shared" si="21"/>
        <v>0</v>
      </c>
      <c r="N215" s="46">
        <f t="shared" si="22"/>
        <v>5.4682159945314737E-2</v>
      </c>
      <c r="O215" s="41" t="s">
        <v>1</v>
      </c>
      <c r="P215" s="50">
        <v>1474</v>
      </c>
      <c r="Q215" s="30">
        <v>1474.8</v>
      </c>
      <c r="R215" s="33">
        <v>13.698090219999999</v>
      </c>
      <c r="S215" s="46">
        <f t="shared" si="23"/>
        <v>0.75187969924812026</v>
      </c>
      <c r="T215" s="46">
        <f t="shared" si="24"/>
        <v>0.80656185919343504</v>
      </c>
      <c r="U215" s="50">
        <f>IF($I215&lt;$P215,1,0)</f>
        <v>1</v>
      </c>
      <c r="V215" s="50">
        <f>IF($I215=$P215,1,0)</f>
        <v>0</v>
      </c>
      <c r="W215" s="50">
        <f>IF($I215&gt;$P215,1,0)</f>
        <v>0</v>
      </c>
    </row>
    <row r="216" spans="1:23" x14ac:dyDescent="0.6">
      <c r="A216" s="41" t="s">
        <v>209</v>
      </c>
      <c r="B216" s="50">
        <v>50</v>
      </c>
      <c r="C216" s="25" t="s">
        <v>973</v>
      </c>
      <c r="D216" s="25" t="s">
        <v>976</v>
      </c>
      <c r="E216" s="25" t="s">
        <v>982</v>
      </c>
      <c r="F216" s="50">
        <v>5</v>
      </c>
      <c r="G216" s="50">
        <f t="shared" si="19"/>
        <v>1456</v>
      </c>
      <c r="H216" s="57">
        <v>1858</v>
      </c>
      <c r="I216" s="32">
        <v>1456</v>
      </c>
      <c r="J216" s="32">
        <v>1456.6</v>
      </c>
      <c r="K216" s="32">
        <v>5</v>
      </c>
      <c r="L216" s="46">
        <f t="shared" si="20"/>
        <v>27.609890109890113</v>
      </c>
      <c r="M216" s="46">
        <f t="shared" si="21"/>
        <v>0</v>
      </c>
      <c r="N216" s="46">
        <f t="shared" si="22"/>
        <v>4.1208791208784963E-2</v>
      </c>
      <c r="O216" s="41" t="s">
        <v>1</v>
      </c>
      <c r="P216" s="50">
        <v>1460</v>
      </c>
      <c r="Q216" s="30">
        <v>1464.8</v>
      </c>
      <c r="R216" s="33">
        <v>14.07519162</v>
      </c>
      <c r="S216" s="46">
        <f t="shared" si="23"/>
        <v>0.27472527472527475</v>
      </c>
      <c r="T216" s="46">
        <f t="shared" si="24"/>
        <v>0.60439560439560125</v>
      </c>
      <c r="U216" s="50">
        <f>IF($I216&lt;$P216,1,0)</f>
        <v>1</v>
      </c>
      <c r="V216" s="50">
        <f>IF($I216=$P216,1,0)</f>
        <v>0</v>
      </c>
      <c r="W216" s="50">
        <f>IF($I216&gt;$P216,1,0)</f>
        <v>0</v>
      </c>
    </row>
    <row r="217" spans="1:23" x14ac:dyDescent="0.6">
      <c r="A217" s="41" t="s">
        <v>210</v>
      </c>
      <c r="B217" s="50">
        <v>50</v>
      </c>
      <c r="C217" s="25" t="s">
        <v>973</v>
      </c>
      <c r="D217" s="25" t="s">
        <v>976</v>
      </c>
      <c r="E217" s="25" t="s">
        <v>982</v>
      </c>
      <c r="F217" s="50">
        <v>6</v>
      </c>
      <c r="G217" s="50">
        <f t="shared" si="19"/>
        <v>1458</v>
      </c>
      <c r="H217" s="57">
        <v>1923</v>
      </c>
      <c r="I217" s="32">
        <v>1458</v>
      </c>
      <c r="J217" s="32">
        <v>1458.2</v>
      </c>
      <c r="K217" s="32">
        <v>5.01</v>
      </c>
      <c r="L217" s="46">
        <f t="shared" si="20"/>
        <v>31.893004115226336</v>
      </c>
      <c r="M217" s="46">
        <f t="shared" si="21"/>
        <v>0</v>
      </c>
      <c r="N217" s="46">
        <f t="shared" si="22"/>
        <v>1.3717421124831651E-2</v>
      </c>
      <c r="O217" s="41" t="s">
        <v>1</v>
      </c>
      <c r="P217" s="50">
        <v>1467</v>
      </c>
      <c r="Q217" s="30">
        <v>1474.6</v>
      </c>
      <c r="R217" s="33">
        <v>14.34360676</v>
      </c>
      <c r="S217" s="46">
        <f t="shared" si="23"/>
        <v>0.61728395061728392</v>
      </c>
      <c r="T217" s="46">
        <f t="shared" si="24"/>
        <v>1.1385459533607618</v>
      </c>
      <c r="U217" s="50">
        <f>IF($I217&lt;$P217,1,0)</f>
        <v>1</v>
      </c>
      <c r="V217" s="50">
        <f>IF($I217=$P217,1,0)</f>
        <v>0</v>
      </c>
      <c r="W217" s="50">
        <f>IF($I217&gt;$P217,1,0)</f>
        <v>0</v>
      </c>
    </row>
    <row r="218" spans="1:23" x14ac:dyDescent="0.6">
      <c r="A218" s="41" t="s">
        <v>211</v>
      </c>
      <c r="B218" s="50">
        <v>50</v>
      </c>
      <c r="C218" s="25" t="s">
        <v>973</v>
      </c>
      <c r="D218" s="25" t="s">
        <v>976</v>
      </c>
      <c r="E218" s="25" t="s">
        <v>982</v>
      </c>
      <c r="F218" s="50">
        <v>7</v>
      </c>
      <c r="G218" s="50">
        <f t="shared" si="19"/>
        <v>1470</v>
      </c>
      <c r="H218" s="57">
        <v>1903</v>
      </c>
      <c r="I218" s="32">
        <v>1470</v>
      </c>
      <c r="J218" s="32">
        <v>1470.6</v>
      </c>
      <c r="K218" s="32">
        <v>5.01</v>
      </c>
      <c r="L218" s="46">
        <f t="shared" si="20"/>
        <v>29.455782312925173</v>
      </c>
      <c r="M218" s="46">
        <f t="shared" si="21"/>
        <v>0</v>
      </c>
      <c r="N218" s="46">
        <f t="shared" si="22"/>
        <v>4.0816326530606059E-2</v>
      </c>
      <c r="O218" s="41" t="s">
        <v>1</v>
      </c>
      <c r="P218" s="50">
        <v>1480</v>
      </c>
      <c r="Q218" s="30">
        <v>1484.4</v>
      </c>
      <c r="R218" s="33">
        <v>14.494540300000001</v>
      </c>
      <c r="S218" s="46">
        <f t="shared" si="23"/>
        <v>0.68027210884353739</v>
      </c>
      <c r="T218" s="46">
        <f t="shared" si="24"/>
        <v>0.97959183673470007</v>
      </c>
      <c r="U218" s="50">
        <f>IF($I218&lt;$P218,1,0)</f>
        <v>1</v>
      </c>
      <c r="V218" s="50">
        <f>IF($I218=$P218,1,0)</f>
        <v>0</v>
      </c>
      <c r="W218" s="50">
        <f>IF($I218&gt;$P218,1,0)</f>
        <v>0</v>
      </c>
    </row>
    <row r="219" spans="1:23" x14ac:dyDescent="0.6">
      <c r="A219" s="41" t="s">
        <v>212</v>
      </c>
      <c r="B219" s="50">
        <v>50</v>
      </c>
      <c r="C219" s="25" t="s">
        <v>973</v>
      </c>
      <c r="D219" s="25" t="s">
        <v>976</v>
      </c>
      <c r="E219" s="25" t="s">
        <v>982</v>
      </c>
      <c r="F219" s="50">
        <v>8</v>
      </c>
      <c r="G219" s="50">
        <f t="shared" si="19"/>
        <v>1488</v>
      </c>
      <c r="H219" s="57">
        <v>1778</v>
      </c>
      <c r="I219" s="32">
        <v>1488</v>
      </c>
      <c r="J219" s="32">
        <v>1489</v>
      </c>
      <c r="K219" s="32">
        <v>5.01</v>
      </c>
      <c r="L219" s="46">
        <f t="shared" si="20"/>
        <v>19.489247311827956</v>
      </c>
      <c r="M219" s="46">
        <f t="shared" si="21"/>
        <v>0</v>
      </c>
      <c r="N219" s="46">
        <f t="shared" si="22"/>
        <v>6.7204301075268827E-2</v>
      </c>
      <c r="O219" s="41" t="s">
        <v>1</v>
      </c>
      <c r="P219" s="50">
        <v>1499</v>
      </c>
      <c r="Q219" s="30">
        <v>1502.8</v>
      </c>
      <c r="R219" s="33">
        <v>13.509954179999999</v>
      </c>
      <c r="S219" s="46">
        <f t="shared" si="23"/>
        <v>0.739247311827957</v>
      </c>
      <c r="T219" s="46">
        <f t="shared" si="24"/>
        <v>0.99462365591397539</v>
      </c>
      <c r="U219" s="50">
        <f>IF($I219&lt;$P219,1,0)</f>
        <v>1</v>
      </c>
      <c r="V219" s="50">
        <f>IF($I219=$P219,1,0)</f>
        <v>0</v>
      </c>
      <c r="W219" s="50">
        <f>IF($I219&gt;$P219,1,0)</f>
        <v>0</v>
      </c>
    </row>
    <row r="220" spans="1:23" x14ac:dyDescent="0.6">
      <c r="A220" s="41" t="s">
        <v>213</v>
      </c>
      <c r="B220" s="50">
        <v>50</v>
      </c>
      <c r="C220" s="25" t="s">
        <v>973</v>
      </c>
      <c r="D220" s="25" t="s">
        <v>976</v>
      </c>
      <c r="E220" s="25" t="s">
        <v>982</v>
      </c>
      <c r="F220" s="50">
        <v>9</v>
      </c>
      <c r="G220" s="50">
        <f t="shared" si="19"/>
        <v>1453</v>
      </c>
      <c r="H220" s="57">
        <v>1939</v>
      </c>
      <c r="I220" s="32">
        <v>1453</v>
      </c>
      <c r="J220" s="32">
        <v>1454.2</v>
      </c>
      <c r="K220" s="32">
        <v>5</v>
      </c>
      <c r="L220" s="46">
        <f t="shared" si="20"/>
        <v>33.44803854094976</v>
      </c>
      <c r="M220" s="46">
        <f t="shared" si="21"/>
        <v>0</v>
      </c>
      <c r="N220" s="46">
        <f t="shared" si="22"/>
        <v>8.25877494838297E-2</v>
      </c>
      <c r="O220" s="41" t="s">
        <v>1</v>
      </c>
      <c r="P220" s="50">
        <v>1462</v>
      </c>
      <c r="Q220" s="30">
        <v>1464.6</v>
      </c>
      <c r="R220" s="33">
        <v>14.38710378</v>
      </c>
      <c r="S220" s="46">
        <f t="shared" si="23"/>
        <v>0.61940812112869925</v>
      </c>
      <c r="T220" s="46">
        <f t="shared" si="24"/>
        <v>0.7983482450103172</v>
      </c>
      <c r="U220" s="50">
        <f>IF($I220&lt;$P220,1,0)</f>
        <v>1</v>
      </c>
      <c r="V220" s="50">
        <f>IF($I220=$P220,1,0)</f>
        <v>0</v>
      </c>
      <c r="W220" s="50">
        <f>IF($I220&gt;$P220,1,0)</f>
        <v>0</v>
      </c>
    </row>
    <row r="221" spans="1:23" x14ac:dyDescent="0.6">
      <c r="A221" s="41" t="s">
        <v>214</v>
      </c>
      <c r="B221" s="50">
        <v>50</v>
      </c>
      <c r="C221" s="25" t="s">
        <v>973</v>
      </c>
      <c r="D221" s="25" t="s">
        <v>976</v>
      </c>
      <c r="E221" s="25" t="s">
        <v>982</v>
      </c>
      <c r="F221" s="50">
        <v>10</v>
      </c>
      <c r="G221" s="50">
        <f t="shared" si="19"/>
        <v>1461</v>
      </c>
      <c r="H221" s="57">
        <v>1971</v>
      </c>
      <c r="I221" s="32">
        <v>1461</v>
      </c>
      <c r="J221" s="32">
        <v>1462</v>
      </c>
      <c r="K221" s="32">
        <v>5</v>
      </c>
      <c r="L221" s="46">
        <f t="shared" si="20"/>
        <v>34.907597535934293</v>
      </c>
      <c r="M221" s="46">
        <f t="shared" si="21"/>
        <v>0</v>
      </c>
      <c r="N221" s="46">
        <f t="shared" si="22"/>
        <v>6.8446269678302529E-2</v>
      </c>
      <c r="O221" s="41" t="s">
        <v>1</v>
      </c>
      <c r="P221" s="50">
        <v>1478</v>
      </c>
      <c r="Q221" s="30">
        <v>1479</v>
      </c>
      <c r="R221" s="33">
        <v>14.90198736</v>
      </c>
      <c r="S221" s="46">
        <f t="shared" si="23"/>
        <v>1.1635865845311431</v>
      </c>
      <c r="T221" s="46">
        <f t="shared" si="24"/>
        <v>1.2320328542094456</v>
      </c>
      <c r="U221" s="50">
        <f>IF($I221&lt;$P221,1,0)</f>
        <v>1</v>
      </c>
      <c r="V221" s="50">
        <f>IF($I221=$P221,1,0)</f>
        <v>0</v>
      </c>
      <c r="W221" s="50">
        <f>IF($I221&gt;$P221,1,0)</f>
        <v>0</v>
      </c>
    </row>
    <row r="222" spans="1:23" x14ac:dyDescent="0.6">
      <c r="A222" s="41" t="s">
        <v>215</v>
      </c>
      <c r="B222" s="50">
        <v>50</v>
      </c>
      <c r="C222" s="25" t="s">
        <v>973</v>
      </c>
      <c r="D222" s="25" t="s">
        <v>979</v>
      </c>
      <c r="E222" s="25" t="s">
        <v>981</v>
      </c>
      <c r="F222" s="50">
        <v>1</v>
      </c>
      <c r="G222" s="50">
        <f t="shared" si="19"/>
        <v>1728</v>
      </c>
      <c r="H222" s="57">
        <v>1895</v>
      </c>
      <c r="I222" s="32">
        <v>1728</v>
      </c>
      <c r="J222" s="32">
        <v>1729.4</v>
      </c>
      <c r="K222" s="32">
        <v>5.01</v>
      </c>
      <c r="L222" s="46">
        <f t="shared" si="20"/>
        <v>9.6643518518518512</v>
      </c>
      <c r="M222" s="46">
        <f t="shared" si="21"/>
        <v>0</v>
      </c>
      <c r="N222" s="46">
        <f t="shared" si="22"/>
        <v>8.1018518518523791E-2</v>
      </c>
      <c r="O222" s="41" t="s">
        <v>1</v>
      </c>
      <c r="P222" s="50">
        <v>1739</v>
      </c>
      <c r="Q222" s="30">
        <v>1745.4</v>
      </c>
      <c r="R222" s="33">
        <v>14.91598892</v>
      </c>
      <c r="S222" s="46">
        <f t="shared" si="23"/>
        <v>0.63657407407407407</v>
      </c>
      <c r="T222" s="46">
        <f t="shared" si="24"/>
        <v>1.0069444444444497</v>
      </c>
      <c r="U222" s="50">
        <f>IF($I222&lt;$P222,1,0)</f>
        <v>1</v>
      </c>
      <c r="V222" s="50">
        <f>IF($I222=$P222,1,0)</f>
        <v>0</v>
      </c>
      <c r="W222" s="50">
        <f>IF($I222&gt;$P222,1,0)</f>
        <v>0</v>
      </c>
    </row>
    <row r="223" spans="1:23" x14ac:dyDescent="0.6">
      <c r="A223" s="41" t="s">
        <v>216</v>
      </c>
      <c r="B223" s="50">
        <v>50</v>
      </c>
      <c r="C223" s="25" t="s">
        <v>973</v>
      </c>
      <c r="D223" s="25" t="s">
        <v>979</v>
      </c>
      <c r="E223" s="25" t="s">
        <v>983</v>
      </c>
      <c r="F223" s="50">
        <v>2</v>
      </c>
      <c r="G223" s="50">
        <f t="shared" si="19"/>
        <v>1695</v>
      </c>
      <c r="H223" s="57">
        <v>1850</v>
      </c>
      <c r="I223" s="32">
        <v>1695</v>
      </c>
      <c r="J223" s="32">
        <v>1695.4</v>
      </c>
      <c r="K223" s="32">
        <v>5.01</v>
      </c>
      <c r="L223" s="46">
        <f t="shared" si="20"/>
        <v>9.1445427728613566</v>
      </c>
      <c r="M223" s="46">
        <f t="shared" si="21"/>
        <v>0</v>
      </c>
      <c r="N223" s="46">
        <f t="shared" si="22"/>
        <v>2.3598820059002417E-2</v>
      </c>
      <c r="O223" s="41" t="s">
        <v>1</v>
      </c>
      <c r="P223" s="50">
        <v>1703</v>
      </c>
      <c r="Q223" s="30">
        <v>1706.2</v>
      </c>
      <c r="R223" s="33">
        <v>13.93325422</v>
      </c>
      <c r="S223" s="46">
        <f t="shared" si="23"/>
        <v>0.471976401179941</v>
      </c>
      <c r="T223" s="46">
        <f t="shared" si="24"/>
        <v>0.66076696165192017</v>
      </c>
      <c r="U223" s="50">
        <f>IF($I223&lt;$P223,1,0)</f>
        <v>1</v>
      </c>
      <c r="V223" s="50">
        <f>IF($I223=$P223,1,0)</f>
        <v>0</v>
      </c>
      <c r="W223" s="50">
        <f>IF($I223&gt;$P223,1,0)</f>
        <v>0</v>
      </c>
    </row>
    <row r="224" spans="1:23" x14ac:dyDescent="0.6">
      <c r="A224" s="41" t="s">
        <v>217</v>
      </c>
      <c r="B224" s="50">
        <v>50</v>
      </c>
      <c r="C224" s="25" t="s">
        <v>973</v>
      </c>
      <c r="D224" s="25" t="s">
        <v>978</v>
      </c>
      <c r="E224" s="25" t="s">
        <v>980</v>
      </c>
      <c r="F224" s="50">
        <v>3</v>
      </c>
      <c r="G224" s="50">
        <f t="shared" si="19"/>
        <v>1718</v>
      </c>
      <c r="H224" s="57">
        <v>1844</v>
      </c>
      <c r="I224" s="32">
        <v>1718</v>
      </c>
      <c r="J224" s="32">
        <v>1719</v>
      </c>
      <c r="K224" s="32">
        <v>5.01</v>
      </c>
      <c r="L224" s="46">
        <f t="shared" si="20"/>
        <v>7.3341094295692661</v>
      </c>
      <c r="M224" s="46">
        <f t="shared" si="21"/>
        <v>0</v>
      </c>
      <c r="N224" s="46">
        <f t="shared" si="22"/>
        <v>5.8207217694994179E-2</v>
      </c>
      <c r="O224" s="41" t="s">
        <v>1</v>
      </c>
      <c r="P224" s="50">
        <v>1731</v>
      </c>
      <c r="Q224" s="30">
        <v>1733.2</v>
      </c>
      <c r="R224" s="33">
        <v>13.53968354</v>
      </c>
      <c r="S224" s="46">
        <f t="shared" si="23"/>
        <v>0.7566938300349243</v>
      </c>
      <c r="T224" s="46">
        <f t="shared" si="24"/>
        <v>0.88474970896391414</v>
      </c>
      <c r="U224" s="50">
        <f>IF($I224&lt;$P224,1,0)</f>
        <v>1</v>
      </c>
      <c r="V224" s="50">
        <f>IF($I224=$P224,1,0)</f>
        <v>0</v>
      </c>
      <c r="W224" s="50">
        <f>IF($I224&gt;$P224,1,0)</f>
        <v>0</v>
      </c>
    </row>
    <row r="225" spans="1:23" x14ac:dyDescent="0.6">
      <c r="A225" s="41" t="s">
        <v>218</v>
      </c>
      <c r="B225" s="50">
        <v>50</v>
      </c>
      <c r="C225" s="25" t="s">
        <v>973</v>
      </c>
      <c r="D225" s="25" t="s">
        <v>978</v>
      </c>
      <c r="E225" s="25" t="s">
        <v>980</v>
      </c>
      <c r="F225" s="50">
        <v>4</v>
      </c>
      <c r="G225" s="50">
        <f t="shared" si="19"/>
        <v>1708</v>
      </c>
      <c r="H225" s="57">
        <v>1844</v>
      </c>
      <c r="I225" s="32">
        <v>1708</v>
      </c>
      <c r="J225" s="32">
        <v>1708.6</v>
      </c>
      <c r="K225" s="32">
        <v>5.01</v>
      </c>
      <c r="L225" s="46">
        <f t="shared" si="20"/>
        <v>7.9625292740046847</v>
      </c>
      <c r="M225" s="46">
        <f t="shared" si="21"/>
        <v>0</v>
      </c>
      <c r="N225" s="46">
        <f t="shared" si="22"/>
        <v>3.5128805620603575E-2</v>
      </c>
      <c r="O225" s="41" t="s">
        <v>1</v>
      </c>
      <c r="P225" s="50">
        <v>1713</v>
      </c>
      <c r="Q225" s="30">
        <v>1718.2</v>
      </c>
      <c r="R225" s="33">
        <v>13.7359708</v>
      </c>
      <c r="S225" s="46">
        <f t="shared" si="23"/>
        <v>0.29274004683840754</v>
      </c>
      <c r="T225" s="46">
        <f t="shared" si="24"/>
        <v>0.59718969555035395</v>
      </c>
      <c r="U225" s="50">
        <f>IF($I225&lt;$P225,1,0)</f>
        <v>1</v>
      </c>
      <c r="V225" s="50">
        <f>IF($I225=$P225,1,0)</f>
        <v>0</v>
      </c>
      <c r="W225" s="50">
        <f>IF($I225&gt;$P225,1,0)</f>
        <v>0</v>
      </c>
    </row>
    <row r="226" spans="1:23" x14ac:dyDescent="0.6">
      <c r="A226" s="41" t="s">
        <v>219</v>
      </c>
      <c r="B226" s="50">
        <v>50</v>
      </c>
      <c r="C226" s="25" t="s">
        <v>973</v>
      </c>
      <c r="D226" s="25" t="s">
        <v>978</v>
      </c>
      <c r="E226" s="25" t="s">
        <v>980</v>
      </c>
      <c r="F226" s="50">
        <v>5</v>
      </c>
      <c r="G226" s="50">
        <f t="shared" si="19"/>
        <v>1700</v>
      </c>
      <c r="H226" s="57">
        <v>1906</v>
      </c>
      <c r="I226" s="32">
        <v>1700</v>
      </c>
      <c r="J226" s="32">
        <v>1700.8</v>
      </c>
      <c r="K226" s="32">
        <v>5.01</v>
      </c>
      <c r="L226" s="46">
        <f t="shared" si="20"/>
        <v>12.117647058823529</v>
      </c>
      <c r="M226" s="46">
        <f t="shared" si="21"/>
        <v>0</v>
      </c>
      <c r="N226" s="46">
        <f t="shared" si="22"/>
        <v>4.7058823529409086E-2</v>
      </c>
      <c r="O226" s="41" t="s">
        <v>1</v>
      </c>
      <c r="P226" s="50">
        <v>1710</v>
      </c>
      <c r="Q226" s="30">
        <v>1711.6</v>
      </c>
      <c r="R226" s="33">
        <v>13.836207760000001</v>
      </c>
      <c r="S226" s="46">
        <f t="shared" si="23"/>
        <v>0.58823529411764708</v>
      </c>
      <c r="T226" s="46">
        <f t="shared" si="24"/>
        <v>0.68235294117646528</v>
      </c>
      <c r="U226" s="50">
        <f>IF($I226&lt;$P226,1,0)</f>
        <v>1</v>
      </c>
      <c r="V226" s="50">
        <f>IF($I226=$P226,1,0)</f>
        <v>0</v>
      </c>
      <c r="W226" s="50">
        <f>IF($I226&gt;$P226,1,0)</f>
        <v>0</v>
      </c>
    </row>
    <row r="227" spans="1:23" x14ac:dyDescent="0.6">
      <c r="A227" s="41" t="s">
        <v>220</v>
      </c>
      <c r="B227" s="50">
        <v>50</v>
      </c>
      <c r="C227" s="25" t="s">
        <v>973</v>
      </c>
      <c r="D227" s="25" t="s">
        <v>978</v>
      </c>
      <c r="E227" s="25" t="s">
        <v>980</v>
      </c>
      <c r="F227" s="50">
        <v>6</v>
      </c>
      <c r="G227" s="50">
        <f t="shared" si="19"/>
        <v>1702</v>
      </c>
      <c r="H227" s="57">
        <v>1918</v>
      </c>
      <c r="I227" s="32">
        <v>1702</v>
      </c>
      <c r="J227" s="32">
        <v>1702.4</v>
      </c>
      <c r="K227" s="32">
        <v>5</v>
      </c>
      <c r="L227" s="46">
        <f t="shared" si="20"/>
        <v>12.690951821386603</v>
      </c>
      <c r="M227" s="46">
        <f t="shared" si="21"/>
        <v>0</v>
      </c>
      <c r="N227" s="46">
        <f t="shared" si="22"/>
        <v>2.3501762632202761E-2</v>
      </c>
      <c r="O227" s="41" t="s">
        <v>1</v>
      </c>
      <c r="P227" s="50">
        <v>1712</v>
      </c>
      <c r="Q227" s="30">
        <v>1715.4</v>
      </c>
      <c r="R227" s="33">
        <v>14.063192280000001</v>
      </c>
      <c r="S227" s="46">
        <f t="shared" si="23"/>
        <v>0.58754406580493534</v>
      </c>
      <c r="T227" s="46">
        <f t="shared" si="24"/>
        <v>0.78730904817861869</v>
      </c>
      <c r="U227" s="50">
        <f>IF($I227&lt;$P227,1,0)</f>
        <v>1</v>
      </c>
      <c r="V227" s="50">
        <f>IF($I227=$P227,1,0)</f>
        <v>0</v>
      </c>
      <c r="W227" s="50">
        <f>IF($I227&gt;$P227,1,0)</f>
        <v>0</v>
      </c>
    </row>
    <row r="228" spans="1:23" x14ac:dyDescent="0.6">
      <c r="A228" s="41" t="s">
        <v>221</v>
      </c>
      <c r="B228" s="50">
        <v>50</v>
      </c>
      <c r="C228" s="25" t="s">
        <v>973</v>
      </c>
      <c r="D228" s="25" t="s">
        <v>978</v>
      </c>
      <c r="E228" s="25" t="s">
        <v>980</v>
      </c>
      <c r="F228" s="50">
        <v>7</v>
      </c>
      <c r="G228" s="50">
        <f t="shared" si="19"/>
        <v>1714</v>
      </c>
      <c r="H228" s="57">
        <v>1923</v>
      </c>
      <c r="I228" s="32">
        <v>1714</v>
      </c>
      <c r="J228" s="32">
        <v>1715.2</v>
      </c>
      <c r="K228" s="32">
        <v>5.01</v>
      </c>
      <c r="L228" s="46">
        <f t="shared" si="20"/>
        <v>12.193698949824972</v>
      </c>
      <c r="M228" s="46">
        <f t="shared" si="21"/>
        <v>0</v>
      </c>
      <c r="N228" s="46">
        <f t="shared" si="22"/>
        <v>7.0011668611437899E-2</v>
      </c>
      <c r="O228" s="41" t="s">
        <v>1</v>
      </c>
      <c r="P228" s="50">
        <v>1725</v>
      </c>
      <c r="Q228" s="30">
        <v>1728.2</v>
      </c>
      <c r="R228" s="33">
        <v>14.464546820000001</v>
      </c>
      <c r="S228" s="46">
        <f t="shared" si="23"/>
        <v>0.64177362893815637</v>
      </c>
      <c r="T228" s="46">
        <f t="shared" si="24"/>
        <v>0.82847141190198637</v>
      </c>
      <c r="U228" s="50">
        <f>IF($I228&lt;$P228,1,0)</f>
        <v>1</v>
      </c>
      <c r="V228" s="50">
        <f>IF($I228=$P228,1,0)</f>
        <v>0</v>
      </c>
      <c r="W228" s="50">
        <f>IF($I228&gt;$P228,1,0)</f>
        <v>0</v>
      </c>
    </row>
    <row r="229" spans="1:23" x14ac:dyDescent="0.6">
      <c r="A229" s="41" t="s">
        <v>222</v>
      </c>
      <c r="B229" s="50">
        <v>50</v>
      </c>
      <c r="C229" s="25" t="s">
        <v>973</v>
      </c>
      <c r="D229" s="25" t="s">
        <v>978</v>
      </c>
      <c r="E229" s="25" t="s">
        <v>980</v>
      </c>
      <c r="F229" s="50">
        <v>8</v>
      </c>
      <c r="G229" s="50">
        <f t="shared" si="19"/>
        <v>1733</v>
      </c>
      <c r="H229" s="57">
        <v>1873</v>
      </c>
      <c r="I229" s="32">
        <v>1733</v>
      </c>
      <c r="J229" s="32">
        <v>1733.8</v>
      </c>
      <c r="K229" s="32">
        <v>5.01</v>
      </c>
      <c r="L229" s="46">
        <f t="shared" si="20"/>
        <v>8.0784766301211768</v>
      </c>
      <c r="M229" s="46">
        <f t="shared" si="21"/>
        <v>0</v>
      </c>
      <c r="N229" s="46">
        <f t="shared" si="22"/>
        <v>4.6162723600689813E-2</v>
      </c>
      <c r="O229" s="41" t="s">
        <v>1</v>
      </c>
      <c r="P229" s="50">
        <v>1741</v>
      </c>
      <c r="Q229" s="30">
        <v>1745</v>
      </c>
      <c r="R229" s="33">
        <v>13.045407579999999</v>
      </c>
      <c r="S229" s="46">
        <f t="shared" si="23"/>
        <v>0.4616272360069244</v>
      </c>
      <c r="T229" s="46">
        <f t="shared" si="24"/>
        <v>0.69244085401038658</v>
      </c>
      <c r="U229" s="50">
        <f>IF($I229&lt;$P229,1,0)</f>
        <v>1</v>
      </c>
      <c r="V229" s="50">
        <f>IF($I229=$P229,1,0)</f>
        <v>0</v>
      </c>
      <c r="W229" s="50">
        <f>IF($I229&gt;$P229,1,0)</f>
        <v>0</v>
      </c>
    </row>
    <row r="230" spans="1:23" x14ac:dyDescent="0.6">
      <c r="A230" s="41" t="s">
        <v>223</v>
      </c>
      <c r="B230" s="50">
        <v>50</v>
      </c>
      <c r="C230" s="25" t="s">
        <v>973</v>
      </c>
      <c r="D230" s="25" t="s">
        <v>978</v>
      </c>
      <c r="E230" s="25" t="s">
        <v>980</v>
      </c>
      <c r="F230" s="50">
        <v>9</v>
      </c>
      <c r="G230" s="50">
        <f t="shared" si="19"/>
        <v>1698</v>
      </c>
      <c r="H230" s="57">
        <v>1931</v>
      </c>
      <c r="I230" s="32">
        <v>1698</v>
      </c>
      <c r="J230" s="32">
        <v>1698.8</v>
      </c>
      <c r="K230" s="32">
        <v>5.01</v>
      </c>
      <c r="L230" s="46">
        <f t="shared" si="20"/>
        <v>13.722025912838633</v>
      </c>
      <c r="M230" s="46">
        <f t="shared" si="21"/>
        <v>0</v>
      </c>
      <c r="N230" s="46">
        <f t="shared" si="22"/>
        <v>4.7114252061245851E-2</v>
      </c>
      <c r="O230" s="41" t="s">
        <v>1</v>
      </c>
      <c r="P230" s="50">
        <v>1704</v>
      </c>
      <c r="Q230" s="30">
        <v>1710.4</v>
      </c>
      <c r="R230" s="33">
        <v>14.766745459999999</v>
      </c>
      <c r="S230" s="46">
        <f t="shared" si="23"/>
        <v>0.35335689045936397</v>
      </c>
      <c r="T230" s="46">
        <f t="shared" si="24"/>
        <v>0.73027090694935748</v>
      </c>
      <c r="U230" s="50">
        <f>IF($I230&lt;$P230,1,0)</f>
        <v>1</v>
      </c>
      <c r="V230" s="50">
        <f>IF($I230=$P230,1,0)</f>
        <v>0</v>
      </c>
      <c r="W230" s="50">
        <f>IF($I230&gt;$P230,1,0)</f>
        <v>0</v>
      </c>
    </row>
    <row r="231" spans="1:23" x14ac:dyDescent="0.6">
      <c r="A231" s="41" t="s">
        <v>224</v>
      </c>
      <c r="B231" s="50">
        <v>50</v>
      </c>
      <c r="C231" s="25" t="s">
        <v>973</v>
      </c>
      <c r="D231" s="25" t="s">
        <v>978</v>
      </c>
      <c r="E231" s="25" t="s">
        <v>980</v>
      </c>
      <c r="F231" s="50">
        <v>10</v>
      </c>
      <c r="G231" s="50">
        <f t="shared" si="19"/>
        <v>1706</v>
      </c>
      <c r="H231" s="57">
        <v>1951</v>
      </c>
      <c r="I231" s="32">
        <v>1706</v>
      </c>
      <c r="J231" s="32">
        <v>1706.2</v>
      </c>
      <c r="K231" s="32">
        <v>5.01</v>
      </c>
      <c r="L231" s="46">
        <f t="shared" si="20"/>
        <v>14.361078546307152</v>
      </c>
      <c r="M231" s="46">
        <f t="shared" si="21"/>
        <v>0</v>
      </c>
      <c r="N231" s="46">
        <f t="shared" si="22"/>
        <v>1.1723329425559524E-2</v>
      </c>
      <c r="O231" s="41" t="s">
        <v>1</v>
      </c>
      <c r="P231" s="50">
        <v>1717</v>
      </c>
      <c r="Q231" s="30">
        <v>1722.2</v>
      </c>
      <c r="R231" s="33">
        <v>14.914587279999999</v>
      </c>
      <c r="S231" s="46">
        <f t="shared" si="23"/>
        <v>0.64478311840562719</v>
      </c>
      <c r="T231" s="46">
        <f t="shared" si="24"/>
        <v>0.94958968347010808</v>
      </c>
      <c r="U231" s="50">
        <f>IF($I231&lt;$P231,1,0)</f>
        <v>1</v>
      </c>
      <c r="V231" s="50">
        <f>IF($I231=$P231,1,0)</f>
        <v>0</v>
      </c>
      <c r="W231" s="50">
        <f>IF($I231&gt;$P231,1,0)</f>
        <v>0</v>
      </c>
    </row>
    <row r="232" spans="1:23" x14ac:dyDescent="0.6">
      <c r="A232" s="41" t="s">
        <v>225</v>
      </c>
      <c r="B232" s="50">
        <v>50</v>
      </c>
      <c r="C232" s="25" t="s">
        <v>973</v>
      </c>
      <c r="D232" s="25" t="s">
        <v>978</v>
      </c>
      <c r="E232" s="25" t="s">
        <v>984</v>
      </c>
      <c r="F232" s="50">
        <v>1</v>
      </c>
      <c r="G232" s="50">
        <f t="shared" si="19"/>
        <v>1729</v>
      </c>
      <c r="H232" s="57">
        <v>2075</v>
      </c>
      <c r="I232" s="32">
        <v>1729</v>
      </c>
      <c r="J232" s="32">
        <v>1729</v>
      </c>
      <c r="K232" s="32">
        <v>5.01</v>
      </c>
      <c r="L232" s="46">
        <f t="shared" si="20"/>
        <v>20.011567379988431</v>
      </c>
      <c r="M232" s="46">
        <f t="shared" si="21"/>
        <v>0</v>
      </c>
      <c r="N232" s="46">
        <f t="shared" si="22"/>
        <v>0</v>
      </c>
      <c r="O232" s="41" t="s">
        <v>1</v>
      </c>
      <c r="P232" s="50">
        <v>1744</v>
      </c>
      <c r="Q232" s="30">
        <v>1745.8</v>
      </c>
      <c r="R232" s="33">
        <v>14.2186568</v>
      </c>
      <c r="S232" s="46">
        <f t="shared" si="23"/>
        <v>0.8675534991324465</v>
      </c>
      <c r="T232" s="46">
        <f t="shared" si="24"/>
        <v>0.97165991902833748</v>
      </c>
      <c r="U232" s="50">
        <f>IF($I232&lt;$P232,1,0)</f>
        <v>1</v>
      </c>
      <c r="V232" s="50">
        <f>IF($I232=$P232,1,0)</f>
        <v>0</v>
      </c>
      <c r="W232" s="50">
        <f>IF($I232&gt;$P232,1,0)</f>
        <v>0</v>
      </c>
    </row>
    <row r="233" spans="1:23" x14ac:dyDescent="0.6">
      <c r="A233" s="41" t="s">
        <v>226</v>
      </c>
      <c r="B233" s="50">
        <v>50</v>
      </c>
      <c r="C233" s="25" t="s">
        <v>973</v>
      </c>
      <c r="D233" s="25" t="s">
        <v>978</v>
      </c>
      <c r="E233" s="25" t="s">
        <v>984</v>
      </c>
      <c r="F233" s="50">
        <v>2</v>
      </c>
      <c r="G233" s="50">
        <f t="shared" si="19"/>
        <v>1695</v>
      </c>
      <c r="H233" s="57">
        <v>1970</v>
      </c>
      <c r="I233" s="32">
        <v>1695</v>
      </c>
      <c r="J233" s="32">
        <v>1695.6</v>
      </c>
      <c r="K233" s="32">
        <v>5.01</v>
      </c>
      <c r="L233" s="46">
        <f t="shared" si="20"/>
        <v>16.224188790560472</v>
      </c>
      <c r="M233" s="46">
        <f t="shared" si="21"/>
        <v>0</v>
      </c>
      <c r="N233" s="46">
        <f t="shared" si="22"/>
        <v>3.5398230088490211E-2</v>
      </c>
      <c r="O233" s="41" t="s">
        <v>1</v>
      </c>
      <c r="P233" s="50">
        <v>1704</v>
      </c>
      <c r="Q233" s="30">
        <v>1707.2</v>
      </c>
      <c r="R233" s="33">
        <v>14.25004352</v>
      </c>
      <c r="S233" s="46">
        <f t="shared" si="23"/>
        <v>0.53097345132743357</v>
      </c>
      <c r="T233" s="46">
        <f t="shared" si="24"/>
        <v>0.71976401179941274</v>
      </c>
      <c r="U233" s="50">
        <f>IF($I233&lt;$P233,1,0)</f>
        <v>1</v>
      </c>
      <c r="V233" s="50">
        <f>IF($I233=$P233,1,0)</f>
        <v>0</v>
      </c>
      <c r="W233" s="50">
        <f>IF($I233&gt;$P233,1,0)</f>
        <v>0</v>
      </c>
    </row>
    <row r="234" spans="1:23" x14ac:dyDescent="0.6">
      <c r="A234" s="41" t="s">
        <v>227</v>
      </c>
      <c r="B234" s="50">
        <v>50</v>
      </c>
      <c r="C234" s="25" t="s">
        <v>973</v>
      </c>
      <c r="D234" s="25" t="s">
        <v>978</v>
      </c>
      <c r="E234" s="25" t="s">
        <v>982</v>
      </c>
      <c r="F234" s="50">
        <v>3</v>
      </c>
      <c r="G234" s="50">
        <f t="shared" si="19"/>
        <v>1718</v>
      </c>
      <c r="H234" s="57">
        <v>1945</v>
      </c>
      <c r="I234" s="32">
        <v>1718</v>
      </c>
      <c r="J234" s="32">
        <v>1719</v>
      </c>
      <c r="K234" s="32">
        <v>5.01</v>
      </c>
      <c r="L234" s="46">
        <f t="shared" si="20"/>
        <v>13.213038416763679</v>
      </c>
      <c r="M234" s="46">
        <f t="shared" si="21"/>
        <v>0</v>
      </c>
      <c r="N234" s="46">
        <f t="shared" si="22"/>
        <v>5.8207217694994179E-2</v>
      </c>
      <c r="O234" s="41" t="s">
        <v>1</v>
      </c>
      <c r="P234" s="50">
        <v>1726</v>
      </c>
      <c r="Q234" s="30">
        <v>1733.6</v>
      </c>
      <c r="R234" s="33">
        <v>14.530033639999999</v>
      </c>
      <c r="S234" s="46">
        <f t="shared" si="23"/>
        <v>0.46565774155995343</v>
      </c>
      <c r="T234" s="46">
        <f t="shared" si="24"/>
        <v>0.90803259604190401</v>
      </c>
      <c r="U234" s="50">
        <f>IF($I234&lt;$P234,1,0)</f>
        <v>1</v>
      </c>
      <c r="V234" s="50">
        <f>IF($I234=$P234,1,0)</f>
        <v>0</v>
      </c>
      <c r="W234" s="50">
        <f>IF($I234&gt;$P234,1,0)</f>
        <v>0</v>
      </c>
    </row>
    <row r="235" spans="1:23" x14ac:dyDescent="0.6">
      <c r="A235" s="41" t="s">
        <v>228</v>
      </c>
      <c r="B235" s="50">
        <v>50</v>
      </c>
      <c r="C235" s="25" t="s">
        <v>973</v>
      </c>
      <c r="D235" s="25" t="s">
        <v>978</v>
      </c>
      <c r="E235" s="25" t="s">
        <v>982</v>
      </c>
      <c r="F235" s="50">
        <v>4</v>
      </c>
      <c r="G235" s="50">
        <f t="shared" si="19"/>
        <v>1708</v>
      </c>
      <c r="H235" s="57">
        <v>1944</v>
      </c>
      <c r="I235" s="32">
        <v>1708</v>
      </c>
      <c r="J235" s="32">
        <v>1709</v>
      </c>
      <c r="K235" s="32">
        <v>5.01</v>
      </c>
      <c r="L235" s="46">
        <f t="shared" si="20"/>
        <v>13.817330210772832</v>
      </c>
      <c r="M235" s="46">
        <f t="shared" si="21"/>
        <v>0</v>
      </c>
      <c r="N235" s="46">
        <f t="shared" si="22"/>
        <v>5.8548009367681501E-2</v>
      </c>
      <c r="O235" s="41" t="s">
        <v>1</v>
      </c>
      <c r="P235" s="50">
        <v>1719</v>
      </c>
      <c r="Q235" s="30">
        <v>1720.8</v>
      </c>
      <c r="R235" s="33">
        <v>13.72207676</v>
      </c>
      <c r="S235" s="46">
        <f t="shared" si="23"/>
        <v>0.64402810304449654</v>
      </c>
      <c r="T235" s="46">
        <f t="shared" si="24"/>
        <v>0.74941451990632046</v>
      </c>
      <c r="U235" s="50">
        <f>IF($I235&lt;$P235,1,0)</f>
        <v>1</v>
      </c>
      <c r="V235" s="50">
        <f>IF($I235=$P235,1,0)</f>
        <v>0</v>
      </c>
      <c r="W235" s="50">
        <f>IF($I235&gt;$P235,1,0)</f>
        <v>0</v>
      </c>
    </row>
    <row r="236" spans="1:23" x14ac:dyDescent="0.6">
      <c r="A236" s="41" t="s">
        <v>229</v>
      </c>
      <c r="B236" s="50">
        <v>50</v>
      </c>
      <c r="C236" s="25" t="s">
        <v>973</v>
      </c>
      <c r="D236" s="25" t="s">
        <v>978</v>
      </c>
      <c r="E236" s="25" t="s">
        <v>982</v>
      </c>
      <c r="F236" s="50">
        <v>5</v>
      </c>
      <c r="G236" s="50">
        <f t="shared" si="19"/>
        <v>1700</v>
      </c>
      <c r="H236" s="57">
        <v>2055</v>
      </c>
      <c r="I236" s="32">
        <v>1700</v>
      </c>
      <c r="J236" s="32">
        <v>1701.2</v>
      </c>
      <c r="K236" s="32">
        <v>5.01</v>
      </c>
      <c r="L236" s="46">
        <f t="shared" si="20"/>
        <v>20.882352941176471</v>
      </c>
      <c r="M236" s="46">
        <f t="shared" si="21"/>
        <v>0</v>
      </c>
      <c r="N236" s="46">
        <f t="shared" si="22"/>
        <v>7.0588235294120324E-2</v>
      </c>
      <c r="O236" s="41" t="s">
        <v>1</v>
      </c>
      <c r="P236" s="50">
        <v>1711</v>
      </c>
      <c r="Q236" s="30">
        <v>1713</v>
      </c>
      <c r="R236" s="33">
        <v>13.953392060000001</v>
      </c>
      <c r="S236" s="46">
        <f t="shared" si="23"/>
        <v>0.6470588235294118</v>
      </c>
      <c r="T236" s="46">
        <f t="shared" si="24"/>
        <v>0.76470588235294124</v>
      </c>
      <c r="U236" s="50">
        <f>IF($I236&lt;$P236,1,0)</f>
        <v>1</v>
      </c>
      <c r="V236" s="50">
        <f>IF($I236=$P236,1,0)</f>
        <v>0</v>
      </c>
      <c r="W236" s="50">
        <f>IF($I236&gt;$P236,1,0)</f>
        <v>0</v>
      </c>
    </row>
    <row r="237" spans="1:23" x14ac:dyDescent="0.6">
      <c r="A237" s="41" t="s">
        <v>230</v>
      </c>
      <c r="B237" s="50">
        <v>50</v>
      </c>
      <c r="C237" s="25" t="s">
        <v>973</v>
      </c>
      <c r="D237" s="25" t="s">
        <v>978</v>
      </c>
      <c r="E237" s="25" t="s">
        <v>982</v>
      </c>
      <c r="F237" s="50">
        <v>6</v>
      </c>
      <c r="G237" s="50">
        <f t="shared" si="19"/>
        <v>1702</v>
      </c>
      <c r="H237" s="57">
        <v>2118</v>
      </c>
      <c r="I237" s="32">
        <v>1702</v>
      </c>
      <c r="J237" s="32">
        <v>1702.4</v>
      </c>
      <c r="K237" s="32">
        <v>5.01</v>
      </c>
      <c r="L237" s="46">
        <f t="shared" si="20"/>
        <v>24.441833137485311</v>
      </c>
      <c r="M237" s="46">
        <f t="shared" si="21"/>
        <v>0</v>
      </c>
      <c r="N237" s="46">
        <f t="shared" si="22"/>
        <v>2.3501762632202761E-2</v>
      </c>
      <c r="O237" s="41" t="s">
        <v>1</v>
      </c>
      <c r="P237" s="50">
        <v>1716</v>
      </c>
      <c r="Q237" s="30">
        <v>1717.4</v>
      </c>
      <c r="R237" s="33">
        <v>14.475781720000001</v>
      </c>
      <c r="S237" s="46">
        <f t="shared" si="23"/>
        <v>0.82256169212690955</v>
      </c>
      <c r="T237" s="46">
        <f t="shared" si="24"/>
        <v>0.90481786133960584</v>
      </c>
      <c r="U237" s="50">
        <f>IF($I237&lt;$P237,1,0)</f>
        <v>1</v>
      </c>
      <c r="V237" s="50">
        <f>IF($I237=$P237,1,0)</f>
        <v>0</v>
      </c>
      <c r="W237" s="50">
        <f>IF($I237&gt;$P237,1,0)</f>
        <v>0</v>
      </c>
    </row>
    <row r="238" spans="1:23" x14ac:dyDescent="0.6">
      <c r="A238" s="41" t="s">
        <v>231</v>
      </c>
      <c r="B238" s="50">
        <v>50</v>
      </c>
      <c r="C238" s="25" t="s">
        <v>973</v>
      </c>
      <c r="D238" s="25" t="s">
        <v>978</v>
      </c>
      <c r="E238" s="25" t="s">
        <v>982</v>
      </c>
      <c r="F238" s="50">
        <v>7</v>
      </c>
      <c r="G238" s="50">
        <f t="shared" si="19"/>
        <v>1715</v>
      </c>
      <c r="H238" s="57">
        <v>2103</v>
      </c>
      <c r="I238" s="32">
        <v>1715</v>
      </c>
      <c r="J238" s="32">
        <v>1715.6</v>
      </c>
      <c r="K238" s="32">
        <v>5</v>
      </c>
      <c r="L238" s="46">
        <f t="shared" si="20"/>
        <v>22.623906705539358</v>
      </c>
      <c r="M238" s="46">
        <f t="shared" si="21"/>
        <v>0</v>
      </c>
      <c r="N238" s="46">
        <f t="shared" si="22"/>
        <v>3.4985422740519481E-2</v>
      </c>
      <c r="O238" s="41" t="s">
        <v>1</v>
      </c>
      <c r="P238" s="50">
        <v>1724</v>
      </c>
      <c r="Q238" s="30">
        <v>1727.4</v>
      </c>
      <c r="R238" s="33">
        <v>14.8202915</v>
      </c>
      <c r="S238" s="46">
        <f t="shared" si="23"/>
        <v>0.52478134110787178</v>
      </c>
      <c r="T238" s="46">
        <f t="shared" si="24"/>
        <v>0.72303206997085079</v>
      </c>
      <c r="U238" s="50">
        <f>IF($I238&lt;$P238,1,0)</f>
        <v>1</v>
      </c>
      <c r="V238" s="50">
        <f>IF($I238=$P238,1,0)</f>
        <v>0</v>
      </c>
      <c r="W238" s="50">
        <f>IF($I238&gt;$P238,1,0)</f>
        <v>0</v>
      </c>
    </row>
    <row r="239" spans="1:23" x14ac:dyDescent="0.6">
      <c r="A239" s="41" t="s">
        <v>232</v>
      </c>
      <c r="B239" s="50">
        <v>50</v>
      </c>
      <c r="C239" s="25" t="s">
        <v>973</v>
      </c>
      <c r="D239" s="25" t="s">
        <v>978</v>
      </c>
      <c r="E239" s="25" t="s">
        <v>982</v>
      </c>
      <c r="F239" s="50">
        <v>8</v>
      </c>
      <c r="G239" s="50">
        <f t="shared" si="19"/>
        <v>1733</v>
      </c>
      <c r="H239" s="57">
        <v>1993</v>
      </c>
      <c r="I239" s="32">
        <v>1733</v>
      </c>
      <c r="J239" s="32">
        <v>1733.4</v>
      </c>
      <c r="K239" s="32">
        <v>5.01</v>
      </c>
      <c r="L239" s="46">
        <f t="shared" si="20"/>
        <v>15.002885170225044</v>
      </c>
      <c r="M239" s="46">
        <f t="shared" si="21"/>
        <v>0</v>
      </c>
      <c r="N239" s="46">
        <f t="shared" si="22"/>
        <v>2.3081361800351471E-2</v>
      </c>
      <c r="O239" s="41" t="s">
        <v>1</v>
      </c>
      <c r="P239" s="50">
        <v>1746</v>
      </c>
      <c r="Q239" s="30">
        <v>1751.2</v>
      </c>
      <c r="R239" s="33">
        <v>13.15131246</v>
      </c>
      <c r="S239" s="46">
        <f t="shared" si="23"/>
        <v>0.7501442585112521</v>
      </c>
      <c r="T239" s="46">
        <f t="shared" si="24"/>
        <v>1.0502019619157557</v>
      </c>
      <c r="U239" s="50">
        <f>IF($I239&lt;$P239,1,0)</f>
        <v>1</v>
      </c>
      <c r="V239" s="50">
        <f>IF($I239=$P239,1,0)</f>
        <v>0</v>
      </c>
      <c r="W239" s="50">
        <f>IF($I239&gt;$P239,1,0)</f>
        <v>0</v>
      </c>
    </row>
    <row r="240" spans="1:23" x14ac:dyDescent="0.6">
      <c r="A240" s="41" t="s">
        <v>233</v>
      </c>
      <c r="B240" s="50">
        <v>50</v>
      </c>
      <c r="C240" s="25" t="s">
        <v>973</v>
      </c>
      <c r="D240" s="25" t="s">
        <v>978</v>
      </c>
      <c r="E240" s="25" t="s">
        <v>982</v>
      </c>
      <c r="F240" s="50">
        <v>9</v>
      </c>
      <c r="G240" s="50">
        <f t="shared" si="19"/>
        <v>1698</v>
      </c>
      <c r="H240" s="57">
        <v>2119</v>
      </c>
      <c r="I240" s="32">
        <v>1698</v>
      </c>
      <c r="J240" s="32">
        <v>1698.8</v>
      </c>
      <c r="K240" s="32">
        <v>5.01</v>
      </c>
      <c r="L240" s="46">
        <f t="shared" si="20"/>
        <v>24.79387514723204</v>
      </c>
      <c r="M240" s="46">
        <f t="shared" si="21"/>
        <v>0</v>
      </c>
      <c r="N240" s="46">
        <f t="shared" si="22"/>
        <v>4.7114252061245851E-2</v>
      </c>
      <c r="O240" s="41" t="s">
        <v>1</v>
      </c>
      <c r="P240" s="50">
        <v>1713</v>
      </c>
      <c r="Q240" s="30">
        <v>1714.6</v>
      </c>
      <c r="R240" s="33">
        <v>14.457770399999999</v>
      </c>
      <c r="S240" s="46">
        <f t="shared" si="23"/>
        <v>0.88339222614840995</v>
      </c>
      <c r="T240" s="46">
        <f t="shared" si="24"/>
        <v>0.97762073027090157</v>
      </c>
      <c r="U240" s="50">
        <f>IF($I240&lt;$P240,1,0)</f>
        <v>1</v>
      </c>
      <c r="V240" s="50">
        <f>IF($I240=$P240,1,0)</f>
        <v>0</v>
      </c>
      <c r="W240" s="50">
        <f>IF($I240&gt;$P240,1,0)</f>
        <v>0</v>
      </c>
    </row>
    <row r="241" spans="1:23" x14ac:dyDescent="0.6">
      <c r="A241" s="41" t="s">
        <v>234</v>
      </c>
      <c r="B241" s="50">
        <v>50</v>
      </c>
      <c r="C241" s="25" t="s">
        <v>973</v>
      </c>
      <c r="D241" s="25" t="s">
        <v>978</v>
      </c>
      <c r="E241" s="25" t="s">
        <v>982</v>
      </c>
      <c r="F241" s="50">
        <v>10</v>
      </c>
      <c r="G241" s="50">
        <f t="shared" si="19"/>
        <v>1705</v>
      </c>
      <c r="H241" s="57">
        <v>2151</v>
      </c>
      <c r="I241" s="32">
        <v>1705</v>
      </c>
      <c r="J241" s="32">
        <v>1706.6</v>
      </c>
      <c r="K241" s="32">
        <v>5.01</v>
      </c>
      <c r="L241" s="46">
        <f t="shared" si="20"/>
        <v>26.158357771260999</v>
      </c>
      <c r="M241" s="46">
        <f t="shared" si="21"/>
        <v>0</v>
      </c>
      <c r="N241" s="46">
        <f t="shared" si="22"/>
        <v>9.3841642228733674E-2</v>
      </c>
      <c r="O241" s="41" t="s">
        <v>1</v>
      </c>
      <c r="P241" s="50">
        <v>1721</v>
      </c>
      <c r="Q241" s="30">
        <v>1722.2</v>
      </c>
      <c r="R241" s="33">
        <v>15.03830784</v>
      </c>
      <c r="S241" s="46">
        <f t="shared" si="23"/>
        <v>0.93841642228739008</v>
      </c>
      <c r="T241" s="46">
        <f t="shared" si="24"/>
        <v>1.0087976539589469</v>
      </c>
      <c r="U241" s="50">
        <f>IF($I241&lt;$P241,1,0)</f>
        <v>1</v>
      </c>
      <c r="V241" s="50">
        <f>IF($I241=$P241,1,0)</f>
        <v>0</v>
      </c>
      <c r="W241" s="50">
        <f>IF($I241&gt;$P241,1,0)</f>
        <v>0</v>
      </c>
    </row>
    <row r="242" spans="1:23" x14ac:dyDescent="0.6">
      <c r="A242" s="41" t="s">
        <v>235</v>
      </c>
      <c r="B242" s="50">
        <v>75</v>
      </c>
      <c r="C242" s="51" t="s">
        <v>971</v>
      </c>
      <c r="D242" s="25" t="s">
        <v>977</v>
      </c>
      <c r="E242" s="25" t="s">
        <v>981</v>
      </c>
      <c r="F242" s="50">
        <v>1</v>
      </c>
      <c r="G242" s="50">
        <f t="shared" si="19"/>
        <v>1450</v>
      </c>
      <c r="H242" s="57">
        <v>1696</v>
      </c>
      <c r="I242" s="32">
        <v>1450</v>
      </c>
      <c r="J242" s="32">
        <v>1451</v>
      </c>
      <c r="K242" s="32">
        <v>7.51</v>
      </c>
      <c r="L242" s="46">
        <f t="shared" si="20"/>
        <v>16.96551724137931</v>
      </c>
      <c r="M242" s="46">
        <f t="shared" si="21"/>
        <v>0</v>
      </c>
      <c r="N242" s="46">
        <f t="shared" si="22"/>
        <v>6.8965517241379309E-2</v>
      </c>
      <c r="O242" s="41" t="s">
        <v>1</v>
      </c>
      <c r="P242" s="50">
        <v>1466</v>
      </c>
      <c r="Q242" s="30">
        <v>1470</v>
      </c>
      <c r="R242" s="33">
        <v>25.571850260000001</v>
      </c>
      <c r="S242" s="46">
        <f t="shared" si="23"/>
        <v>1.103448275862069</v>
      </c>
      <c r="T242" s="46">
        <f t="shared" si="24"/>
        <v>1.3793103448275863</v>
      </c>
      <c r="U242" s="50">
        <f>IF($I242&lt;$P242,1,0)</f>
        <v>1</v>
      </c>
      <c r="V242" s="50">
        <f>IF($I242=$P242,1,0)</f>
        <v>0</v>
      </c>
      <c r="W242" s="50">
        <f>IF($I242&gt;$P242,1,0)</f>
        <v>0</v>
      </c>
    </row>
    <row r="243" spans="1:23" x14ac:dyDescent="0.6">
      <c r="A243" s="41" t="s">
        <v>236</v>
      </c>
      <c r="B243" s="50">
        <v>75</v>
      </c>
      <c r="C243" s="51" t="s">
        <v>971</v>
      </c>
      <c r="D243" s="25" t="s">
        <v>977</v>
      </c>
      <c r="E243" s="25" t="s">
        <v>983</v>
      </c>
      <c r="F243" s="50">
        <v>2</v>
      </c>
      <c r="G243" s="50">
        <f t="shared" si="19"/>
        <v>1438</v>
      </c>
      <c r="H243" s="57">
        <v>1658</v>
      </c>
      <c r="I243" s="32">
        <v>1438</v>
      </c>
      <c r="J243" s="32">
        <v>1438.4</v>
      </c>
      <c r="K243" s="32">
        <v>7.51</v>
      </c>
      <c r="L243" s="46">
        <f t="shared" si="20"/>
        <v>15.299026425591098</v>
      </c>
      <c r="M243" s="46">
        <f t="shared" si="21"/>
        <v>0</v>
      </c>
      <c r="N243" s="46">
        <f t="shared" si="22"/>
        <v>2.7816411682899229E-2</v>
      </c>
      <c r="O243" s="41" t="s">
        <v>1</v>
      </c>
      <c r="P243" s="50">
        <v>1454</v>
      </c>
      <c r="Q243" s="30">
        <v>1455.6</v>
      </c>
      <c r="R243" s="33">
        <v>26.843696820000002</v>
      </c>
      <c r="S243" s="46">
        <f t="shared" si="23"/>
        <v>1.1126564673157162</v>
      </c>
      <c r="T243" s="46">
        <f t="shared" si="24"/>
        <v>1.2239221140472816</v>
      </c>
      <c r="U243" s="50">
        <f>IF($I243&lt;$P243,1,0)</f>
        <v>1</v>
      </c>
      <c r="V243" s="50">
        <f>IF($I243=$P243,1,0)</f>
        <v>0</v>
      </c>
      <c r="W243" s="50">
        <f>IF($I243&gt;$P243,1,0)</f>
        <v>0</v>
      </c>
    </row>
    <row r="244" spans="1:23" x14ac:dyDescent="0.6">
      <c r="A244" s="41" t="s">
        <v>237</v>
      </c>
      <c r="B244" s="50">
        <v>75</v>
      </c>
      <c r="C244" s="51" t="s">
        <v>970</v>
      </c>
      <c r="D244" s="25" t="s">
        <v>976</v>
      </c>
      <c r="E244" s="25" t="s">
        <v>980</v>
      </c>
      <c r="F244" s="50">
        <v>3</v>
      </c>
      <c r="G244" s="50">
        <f t="shared" si="19"/>
        <v>1454</v>
      </c>
      <c r="H244" s="57">
        <v>1664</v>
      </c>
      <c r="I244" s="32">
        <v>1454</v>
      </c>
      <c r="J244" s="32">
        <v>1455</v>
      </c>
      <c r="K244" s="32">
        <v>7.51</v>
      </c>
      <c r="L244" s="46">
        <f t="shared" si="20"/>
        <v>14.442916093535077</v>
      </c>
      <c r="M244" s="46">
        <f t="shared" si="21"/>
        <v>0</v>
      </c>
      <c r="N244" s="46">
        <f t="shared" si="22"/>
        <v>6.8775790921595595E-2</v>
      </c>
      <c r="O244" s="41" t="s">
        <v>1</v>
      </c>
      <c r="P244" s="50">
        <v>1465</v>
      </c>
      <c r="Q244" s="30">
        <v>1469.8</v>
      </c>
      <c r="R244" s="33">
        <v>25.62638192</v>
      </c>
      <c r="S244" s="46">
        <f t="shared" si="23"/>
        <v>0.75653370013755161</v>
      </c>
      <c r="T244" s="46">
        <f t="shared" si="24"/>
        <v>1.0866574965612072</v>
      </c>
      <c r="U244" s="50">
        <f>IF($I244&lt;$P244,1,0)</f>
        <v>1</v>
      </c>
      <c r="V244" s="50">
        <f>IF($I244=$P244,1,0)</f>
        <v>0</v>
      </c>
      <c r="W244" s="50">
        <f>IF($I244&gt;$P244,1,0)</f>
        <v>0</v>
      </c>
    </row>
    <row r="245" spans="1:23" x14ac:dyDescent="0.6">
      <c r="A245" s="41" t="s">
        <v>238</v>
      </c>
      <c r="B245" s="50">
        <v>75</v>
      </c>
      <c r="C245" s="51" t="s">
        <v>970</v>
      </c>
      <c r="D245" s="25" t="s">
        <v>976</v>
      </c>
      <c r="E245" s="25" t="s">
        <v>980</v>
      </c>
      <c r="F245" s="50">
        <v>4</v>
      </c>
      <c r="G245" s="50">
        <f t="shared" si="19"/>
        <v>1456</v>
      </c>
      <c r="H245" s="57">
        <v>1612</v>
      </c>
      <c r="I245" s="32">
        <v>1456</v>
      </c>
      <c r="J245" s="32">
        <v>1457</v>
      </c>
      <c r="K245" s="32">
        <v>7.51</v>
      </c>
      <c r="L245" s="46">
        <f t="shared" si="20"/>
        <v>10.714285714285714</v>
      </c>
      <c r="M245" s="46">
        <f t="shared" si="21"/>
        <v>0</v>
      </c>
      <c r="N245" s="46">
        <f t="shared" si="22"/>
        <v>6.8681318681318687E-2</v>
      </c>
      <c r="O245" s="41" t="s">
        <v>1</v>
      </c>
      <c r="P245" s="50">
        <v>1472</v>
      </c>
      <c r="Q245" s="30">
        <v>1474</v>
      </c>
      <c r="R245" s="33">
        <v>24.631030840000001</v>
      </c>
      <c r="S245" s="46">
        <f t="shared" si="23"/>
        <v>1.098901098901099</v>
      </c>
      <c r="T245" s="46">
        <f t="shared" si="24"/>
        <v>1.2362637362637363</v>
      </c>
      <c r="U245" s="50">
        <f>IF($I245&lt;$P245,1,0)</f>
        <v>1</v>
      </c>
      <c r="V245" s="50">
        <f>IF($I245=$P245,1,0)</f>
        <v>0</v>
      </c>
      <c r="W245" s="50">
        <f>IF($I245&gt;$P245,1,0)</f>
        <v>0</v>
      </c>
    </row>
    <row r="246" spans="1:23" x14ac:dyDescent="0.6">
      <c r="A246" s="41" t="s">
        <v>239</v>
      </c>
      <c r="B246" s="50">
        <v>75</v>
      </c>
      <c r="C246" s="51" t="s">
        <v>970</v>
      </c>
      <c r="D246" s="25" t="s">
        <v>976</v>
      </c>
      <c r="E246" s="25" t="s">
        <v>980</v>
      </c>
      <c r="F246" s="50">
        <v>5</v>
      </c>
      <c r="G246" s="50">
        <f t="shared" si="19"/>
        <v>1439</v>
      </c>
      <c r="H246" s="57">
        <v>1794</v>
      </c>
      <c r="I246" s="32">
        <v>1439</v>
      </c>
      <c r="J246" s="32">
        <v>1440.6</v>
      </c>
      <c r="K246" s="32">
        <v>7.51</v>
      </c>
      <c r="L246" s="46">
        <f t="shared" si="20"/>
        <v>24.669909659485754</v>
      </c>
      <c r="M246" s="46">
        <f t="shared" si="21"/>
        <v>0</v>
      </c>
      <c r="N246" s="46">
        <f t="shared" si="22"/>
        <v>0.11118832522584497</v>
      </c>
      <c r="O246" s="41" t="s">
        <v>1</v>
      </c>
      <c r="P246" s="50">
        <v>1454</v>
      </c>
      <c r="Q246" s="30">
        <v>1458.6</v>
      </c>
      <c r="R246" s="33">
        <v>23.835020759999999</v>
      </c>
      <c r="S246" s="46">
        <f t="shared" si="23"/>
        <v>1.0423905489923557</v>
      </c>
      <c r="T246" s="46">
        <f t="shared" si="24"/>
        <v>1.3620569840166721</v>
      </c>
      <c r="U246" s="50">
        <f>IF($I246&lt;$P246,1,0)</f>
        <v>1</v>
      </c>
      <c r="V246" s="50">
        <f>IF($I246=$P246,1,0)</f>
        <v>0</v>
      </c>
      <c r="W246" s="50">
        <f>IF($I246&gt;$P246,1,0)</f>
        <v>0</v>
      </c>
    </row>
    <row r="247" spans="1:23" x14ac:dyDescent="0.6">
      <c r="A247" s="41" t="s">
        <v>240</v>
      </c>
      <c r="B247" s="50">
        <v>75</v>
      </c>
      <c r="C247" s="51" t="s">
        <v>970</v>
      </c>
      <c r="D247" s="25" t="s">
        <v>976</v>
      </c>
      <c r="E247" s="25" t="s">
        <v>980</v>
      </c>
      <c r="F247" s="50">
        <v>6</v>
      </c>
      <c r="G247" s="50">
        <f t="shared" si="19"/>
        <v>1456</v>
      </c>
      <c r="H247" s="57">
        <v>1733</v>
      </c>
      <c r="I247" s="32">
        <v>1456</v>
      </c>
      <c r="J247" s="32">
        <v>1457</v>
      </c>
      <c r="K247" s="32">
        <v>7.51</v>
      </c>
      <c r="L247" s="46">
        <f t="shared" si="20"/>
        <v>19.024725274725274</v>
      </c>
      <c r="M247" s="46">
        <f t="shared" si="21"/>
        <v>0</v>
      </c>
      <c r="N247" s="46">
        <f t="shared" si="22"/>
        <v>6.8681318681318687E-2</v>
      </c>
      <c r="O247" s="41" t="s">
        <v>1</v>
      </c>
      <c r="P247" s="50">
        <v>1467</v>
      </c>
      <c r="Q247" s="30">
        <v>1474.2</v>
      </c>
      <c r="R247" s="33">
        <v>24.725307699999998</v>
      </c>
      <c r="S247" s="46">
        <f t="shared" si="23"/>
        <v>0.75549450549450547</v>
      </c>
      <c r="T247" s="46">
        <f t="shared" si="24"/>
        <v>1.2500000000000031</v>
      </c>
      <c r="U247" s="50">
        <f>IF($I247&lt;$P247,1,0)</f>
        <v>1</v>
      </c>
      <c r="V247" s="50">
        <f>IF($I247=$P247,1,0)</f>
        <v>0</v>
      </c>
      <c r="W247" s="50">
        <f>IF($I247&gt;$P247,1,0)</f>
        <v>0</v>
      </c>
    </row>
    <row r="248" spans="1:23" x14ac:dyDescent="0.6">
      <c r="A248" s="41" t="s">
        <v>241</v>
      </c>
      <c r="B248" s="50">
        <v>75</v>
      </c>
      <c r="C248" s="51" t="s">
        <v>970</v>
      </c>
      <c r="D248" s="25" t="s">
        <v>976</v>
      </c>
      <c r="E248" s="25" t="s">
        <v>980</v>
      </c>
      <c r="F248" s="50">
        <v>7</v>
      </c>
      <c r="G248" s="50">
        <f t="shared" si="19"/>
        <v>1459</v>
      </c>
      <c r="H248" s="57">
        <v>1745</v>
      </c>
      <c r="I248" s="32">
        <v>1459</v>
      </c>
      <c r="J248" s="32">
        <v>1459.6</v>
      </c>
      <c r="K248" s="32">
        <v>7.51</v>
      </c>
      <c r="L248" s="46">
        <f t="shared" si="20"/>
        <v>19.602467443454422</v>
      </c>
      <c r="M248" s="46">
        <f t="shared" si="21"/>
        <v>0</v>
      </c>
      <c r="N248" s="46">
        <f t="shared" si="22"/>
        <v>4.112405757367437E-2</v>
      </c>
      <c r="O248" s="41" t="s">
        <v>1</v>
      </c>
      <c r="P248" s="50">
        <v>1470</v>
      </c>
      <c r="Q248" s="30">
        <v>1474.2</v>
      </c>
      <c r="R248" s="33">
        <v>24.887558160000001</v>
      </c>
      <c r="S248" s="46">
        <f t="shared" si="23"/>
        <v>0.7539410555174777</v>
      </c>
      <c r="T248" s="46">
        <f t="shared" si="24"/>
        <v>1.0418094585332449</v>
      </c>
      <c r="U248" s="50">
        <f>IF($I248&lt;$P248,1,0)</f>
        <v>1</v>
      </c>
      <c r="V248" s="50">
        <f>IF($I248=$P248,1,0)</f>
        <v>0</v>
      </c>
      <c r="W248" s="50">
        <f>IF($I248&gt;$P248,1,0)</f>
        <v>0</v>
      </c>
    </row>
    <row r="249" spans="1:23" x14ac:dyDescent="0.6">
      <c r="A249" s="41" t="s">
        <v>242</v>
      </c>
      <c r="B249" s="50">
        <v>75</v>
      </c>
      <c r="C249" s="51" t="s">
        <v>970</v>
      </c>
      <c r="D249" s="25" t="s">
        <v>976</v>
      </c>
      <c r="E249" s="25" t="s">
        <v>980</v>
      </c>
      <c r="F249" s="50">
        <v>8</v>
      </c>
      <c r="G249" s="50">
        <f t="shared" si="19"/>
        <v>1466</v>
      </c>
      <c r="H249" s="57">
        <v>1696</v>
      </c>
      <c r="I249" s="32">
        <v>1466</v>
      </c>
      <c r="J249" s="32">
        <v>1466.8</v>
      </c>
      <c r="K249" s="32">
        <v>7.5</v>
      </c>
      <c r="L249" s="46">
        <f t="shared" si="20"/>
        <v>15.688949522510232</v>
      </c>
      <c r="M249" s="46">
        <f t="shared" si="21"/>
        <v>0</v>
      </c>
      <c r="N249" s="46">
        <f t="shared" si="22"/>
        <v>5.4570259208728135E-2</v>
      </c>
      <c r="O249" s="41" t="s">
        <v>1</v>
      </c>
      <c r="P249" s="50">
        <v>1478</v>
      </c>
      <c r="Q249" s="30">
        <v>1483</v>
      </c>
      <c r="R249" s="33">
        <v>24.767752059999999</v>
      </c>
      <c r="S249" s="46">
        <f t="shared" si="23"/>
        <v>0.81855388813096863</v>
      </c>
      <c r="T249" s="46">
        <f t="shared" si="24"/>
        <v>1.1596180081855387</v>
      </c>
      <c r="U249" s="50">
        <f>IF($I249&lt;$P249,1,0)</f>
        <v>1</v>
      </c>
      <c r="V249" s="50">
        <f>IF($I249=$P249,1,0)</f>
        <v>0</v>
      </c>
      <c r="W249" s="50">
        <f>IF($I249&gt;$P249,1,0)</f>
        <v>0</v>
      </c>
    </row>
    <row r="250" spans="1:23" x14ac:dyDescent="0.6">
      <c r="A250" s="41" t="s">
        <v>243</v>
      </c>
      <c r="B250" s="50">
        <v>75</v>
      </c>
      <c r="C250" s="51" t="s">
        <v>970</v>
      </c>
      <c r="D250" s="25" t="s">
        <v>976</v>
      </c>
      <c r="E250" s="25" t="s">
        <v>980</v>
      </c>
      <c r="F250" s="50">
        <v>9</v>
      </c>
      <c r="G250" s="50">
        <f t="shared" si="19"/>
        <v>1452</v>
      </c>
      <c r="H250" s="57">
        <v>1706</v>
      </c>
      <c r="I250" s="32">
        <v>1452</v>
      </c>
      <c r="J250" s="32">
        <v>1453.6</v>
      </c>
      <c r="K250" s="32">
        <v>7.51</v>
      </c>
      <c r="L250" s="46">
        <f t="shared" si="20"/>
        <v>17.4931129476584</v>
      </c>
      <c r="M250" s="46">
        <f t="shared" si="21"/>
        <v>0</v>
      </c>
      <c r="N250" s="46">
        <f t="shared" si="22"/>
        <v>0.11019283746555848</v>
      </c>
      <c r="O250" s="41" t="s">
        <v>1</v>
      </c>
      <c r="P250" s="50">
        <v>1469</v>
      </c>
      <c r="Q250" s="30">
        <v>1471.4</v>
      </c>
      <c r="R250" s="33">
        <v>25.240791980000001</v>
      </c>
      <c r="S250" s="46">
        <f t="shared" si="23"/>
        <v>1.1707988980716253</v>
      </c>
      <c r="T250" s="46">
        <f t="shared" si="24"/>
        <v>1.3360881542699787</v>
      </c>
      <c r="U250" s="50">
        <f>IF($I250&lt;$P250,1,0)</f>
        <v>1</v>
      </c>
      <c r="V250" s="50">
        <f>IF($I250=$P250,1,0)</f>
        <v>0</v>
      </c>
      <c r="W250" s="50">
        <f>IF($I250&gt;$P250,1,0)</f>
        <v>0</v>
      </c>
    </row>
    <row r="251" spans="1:23" x14ac:dyDescent="0.6">
      <c r="A251" s="41" t="s">
        <v>244</v>
      </c>
      <c r="B251" s="50">
        <v>75</v>
      </c>
      <c r="C251" s="51" t="s">
        <v>970</v>
      </c>
      <c r="D251" s="25" t="s">
        <v>976</v>
      </c>
      <c r="E251" s="25" t="s">
        <v>980</v>
      </c>
      <c r="F251" s="50">
        <v>10</v>
      </c>
      <c r="G251" s="50">
        <f t="shared" si="19"/>
        <v>1432</v>
      </c>
      <c r="H251" s="57">
        <v>1699</v>
      </c>
      <c r="I251" s="32">
        <v>1432</v>
      </c>
      <c r="J251" s="32">
        <v>1432.8</v>
      </c>
      <c r="K251" s="32">
        <v>7.5</v>
      </c>
      <c r="L251" s="46">
        <f t="shared" si="20"/>
        <v>18.645251396648042</v>
      </c>
      <c r="M251" s="46">
        <f t="shared" si="21"/>
        <v>0</v>
      </c>
      <c r="N251" s="46">
        <f t="shared" si="22"/>
        <v>5.586592178770633E-2</v>
      </c>
      <c r="O251" s="41" t="s">
        <v>1</v>
      </c>
      <c r="P251" s="50">
        <v>1443</v>
      </c>
      <c r="Q251" s="30">
        <v>1449.2</v>
      </c>
      <c r="R251" s="33">
        <v>25.437360600000002</v>
      </c>
      <c r="S251" s="46">
        <f t="shared" si="23"/>
        <v>0.76815642458100553</v>
      </c>
      <c r="T251" s="46">
        <f t="shared" si="24"/>
        <v>1.2011173184357575</v>
      </c>
      <c r="U251" s="50">
        <f>IF($I251&lt;$P251,1,0)</f>
        <v>1</v>
      </c>
      <c r="V251" s="50">
        <f>IF($I251=$P251,1,0)</f>
        <v>0</v>
      </c>
      <c r="W251" s="50">
        <f>IF($I251&gt;$P251,1,0)</f>
        <v>0</v>
      </c>
    </row>
    <row r="252" spans="1:23" x14ac:dyDescent="0.6">
      <c r="A252" s="41" t="s">
        <v>245</v>
      </c>
      <c r="B252" s="50">
        <v>75</v>
      </c>
      <c r="C252" s="51" t="s">
        <v>970</v>
      </c>
      <c r="D252" s="25" t="s">
        <v>976</v>
      </c>
      <c r="E252" s="25" t="s">
        <v>984</v>
      </c>
      <c r="F252" s="50">
        <v>1</v>
      </c>
      <c r="G252" s="50">
        <f t="shared" si="19"/>
        <v>1451</v>
      </c>
      <c r="H252" s="57">
        <v>1874</v>
      </c>
      <c r="I252" s="32">
        <v>1451</v>
      </c>
      <c r="J252" s="32">
        <v>1451.4</v>
      </c>
      <c r="K252" s="32">
        <v>7.51</v>
      </c>
      <c r="L252" s="46">
        <f t="shared" si="20"/>
        <v>29.152308752584428</v>
      </c>
      <c r="M252" s="46">
        <f t="shared" si="21"/>
        <v>0</v>
      </c>
      <c r="N252" s="46">
        <f t="shared" si="22"/>
        <v>2.7567195037911163E-2</v>
      </c>
      <c r="O252" s="41" t="s">
        <v>1</v>
      </c>
      <c r="P252" s="50">
        <v>1462</v>
      </c>
      <c r="Q252" s="30">
        <v>1467.2</v>
      </c>
      <c r="R252" s="33">
        <v>25.1323875</v>
      </c>
      <c r="S252" s="46">
        <f t="shared" si="23"/>
        <v>0.75809786354238462</v>
      </c>
      <c r="T252" s="46">
        <f t="shared" si="24"/>
        <v>1.1164713990351511</v>
      </c>
      <c r="U252" s="50">
        <f>IF($I252&lt;$P252,1,0)</f>
        <v>1</v>
      </c>
      <c r="V252" s="50">
        <f>IF($I252=$P252,1,0)</f>
        <v>0</v>
      </c>
      <c r="W252" s="50">
        <f>IF($I252&gt;$P252,1,0)</f>
        <v>0</v>
      </c>
    </row>
    <row r="253" spans="1:23" x14ac:dyDescent="0.6">
      <c r="A253" s="41" t="s">
        <v>246</v>
      </c>
      <c r="B253" s="50">
        <v>75</v>
      </c>
      <c r="C253" s="51" t="s">
        <v>970</v>
      </c>
      <c r="D253" s="25" t="s">
        <v>976</v>
      </c>
      <c r="E253" s="25" t="s">
        <v>984</v>
      </c>
      <c r="F253" s="50">
        <v>2</v>
      </c>
      <c r="G253" s="50">
        <f t="shared" si="19"/>
        <v>1439</v>
      </c>
      <c r="H253" s="57">
        <v>1872</v>
      </c>
      <c r="I253" s="32">
        <v>1439</v>
      </c>
      <c r="J253" s="32">
        <v>1439.2</v>
      </c>
      <c r="K253" s="32">
        <v>7.51</v>
      </c>
      <c r="L253" s="46">
        <f t="shared" si="20"/>
        <v>30.090340514246005</v>
      </c>
      <c r="M253" s="46">
        <f t="shared" si="21"/>
        <v>0</v>
      </c>
      <c r="N253" s="46">
        <f t="shared" si="22"/>
        <v>1.3898540653234571E-2</v>
      </c>
      <c r="O253" s="41" t="s">
        <v>1</v>
      </c>
      <c r="P253" s="50">
        <v>1455</v>
      </c>
      <c r="Q253" s="30">
        <v>1457.6</v>
      </c>
      <c r="R253" s="33">
        <v>25.525009220000001</v>
      </c>
      <c r="S253" s="46">
        <f t="shared" si="23"/>
        <v>1.1118832522585129</v>
      </c>
      <c r="T253" s="46">
        <f t="shared" si="24"/>
        <v>1.2925642807505149</v>
      </c>
      <c r="U253" s="50">
        <f>IF($I253&lt;$P253,1,0)</f>
        <v>1</v>
      </c>
      <c r="V253" s="50">
        <f>IF($I253=$P253,1,0)</f>
        <v>0</v>
      </c>
      <c r="W253" s="50">
        <f>IF($I253&gt;$P253,1,0)</f>
        <v>0</v>
      </c>
    </row>
    <row r="254" spans="1:23" x14ac:dyDescent="0.6">
      <c r="A254" s="41" t="s">
        <v>247</v>
      </c>
      <c r="B254" s="50">
        <v>75</v>
      </c>
      <c r="C254" s="51" t="s">
        <v>970</v>
      </c>
      <c r="D254" s="25" t="s">
        <v>976</v>
      </c>
      <c r="E254" s="25" t="s">
        <v>982</v>
      </c>
      <c r="F254" s="50">
        <v>3</v>
      </c>
      <c r="G254" s="50">
        <f t="shared" si="19"/>
        <v>1453</v>
      </c>
      <c r="H254" s="57">
        <v>1804</v>
      </c>
      <c r="I254" s="32">
        <v>1453</v>
      </c>
      <c r="J254" s="32">
        <v>1455</v>
      </c>
      <c r="K254" s="32">
        <v>7.51</v>
      </c>
      <c r="L254" s="46">
        <f t="shared" si="20"/>
        <v>24.156916724019268</v>
      </c>
      <c r="M254" s="46">
        <f t="shared" si="21"/>
        <v>0</v>
      </c>
      <c r="N254" s="46">
        <f t="shared" si="22"/>
        <v>0.13764624913971094</v>
      </c>
      <c r="O254" s="41" t="s">
        <v>1</v>
      </c>
      <c r="P254" s="50">
        <v>1467</v>
      </c>
      <c r="Q254" s="30">
        <v>1470.2</v>
      </c>
      <c r="R254" s="33">
        <v>25.075154699999999</v>
      </c>
      <c r="S254" s="46">
        <f t="shared" si="23"/>
        <v>0.96352374397797658</v>
      </c>
      <c r="T254" s="46">
        <f t="shared" si="24"/>
        <v>1.1837577426015173</v>
      </c>
      <c r="U254" s="50">
        <f>IF($I254&lt;$P254,1,0)</f>
        <v>1</v>
      </c>
      <c r="V254" s="50">
        <f>IF($I254=$P254,1,0)</f>
        <v>0</v>
      </c>
      <c r="W254" s="50">
        <f>IF($I254&gt;$P254,1,0)</f>
        <v>0</v>
      </c>
    </row>
    <row r="255" spans="1:23" x14ac:dyDescent="0.6">
      <c r="A255" s="41" t="s">
        <v>248</v>
      </c>
      <c r="B255" s="50">
        <v>75</v>
      </c>
      <c r="C255" s="51" t="s">
        <v>970</v>
      </c>
      <c r="D255" s="25" t="s">
        <v>976</v>
      </c>
      <c r="E255" s="25" t="s">
        <v>982</v>
      </c>
      <c r="F255" s="50">
        <v>4</v>
      </c>
      <c r="G255" s="50">
        <f t="shared" si="19"/>
        <v>1456</v>
      </c>
      <c r="H255" s="57">
        <v>1761</v>
      </c>
      <c r="I255" s="32">
        <v>1456</v>
      </c>
      <c r="J255" s="32">
        <v>1457</v>
      </c>
      <c r="K255" s="32">
        <v>7.51</v>
      </c>
      <c r="L255" s="46">
        <f t="shared" si="20"/>
        <v>20.947802197802197</v>
      </c>
      <c r="M255" s="46">
        <f t="shared" si="21"/>
        <v>0</v>
      </c>
      <c r="N255" s="46">
        <f t="shared" si="22"/>
        <v>6.8681318681318687E-2</v>
      </c>
      <c r="O255" s="41" t="s">
        <v>1</v>
      </c>
      <c r="P255" s="50">
        <v>1466</v>
      </c>
      <c r="Q255" s="30">
        <v>1471.8</v>
      </c>
      <c r="R255" s="33">
        <v>25.1313323</v>
      </c>
      <c r="S255" s="46">
        <f t="shared" si="23"/>
        <v>0.68681318681318682</v>
      </c>
      <c r="T255" s="46">
        <f t="shared" si="24"/>
        <v>1.085164835164832</v>
      </c>
      <c r="U255" s="50">
        <f>IF($I255&lt;$P255,1,0)</f>
        <v>1</v>
      </c>
      <c r="V255" s="50">
        <f>IF($I255=$P255,1,0)</f>
        <v>0</v>
      </c>
      <c r="W255" s="50">
        <f>IF($I255&gt;$P255,1,0)</f>
        <v>0</v>
      </c>
    </row>
    <row r="256" spans="1:23" x14ac:dyDescent="0.6">
      <c r="A256" s="41" t="s">
        <v>249</v>
      </c>
      <c r="B256" s="50">
        <v>75</v>
      </c>
      <c r="C256" s="51" t="s">
        <v>970</v>
      </c>
      <c r="D256" s="25" t="s">
        <v>976</v>
      </c>
      <c r="E256" s="25" t="s">
        <v>982</v>
      </c>
      <c r="F256" s="50">
        <v>5</v>
      </c>
      <c r="G256" s="50">
        <f t="shared" si="19"/>
        <v>1440</v>
      </c>
      <c r="H256" s="57">
        <v>2054</v>
      </c>
      <c r="I256" s="32">
        <v>1440</v>
      </c>
      <c r="J256" s="32">
        <v>1441</v>
      </c>
      <c r="K256" s="32">
        <v>7.5</v>
      </c>
      <c r="L256" s="46">
        <f t="shared" si="20"/>
        <v>42.638888888888886</v>
      </c>
      <c r="M256" s="46">
        <f t="shared" si="21"/>
        <v>0</v>
      </c>
      <c r="N256" s="46">
        <f t="shared" si="22"/>
        <v>6.9444444444444448E-2</v>
      </c>
      <c r="O256" s="41" t="s">
        <v>1</v>
      </c>
      <c r="P256" s="50">
        <v>1457</v>
      </c>
      <c r="Q256" s="30">
        <v>1458.2</v>
      </c>
      <c r="R256" s="33">
        <v>25.412729760000001</v>
      </c>
      <c r="S256" s="46">
        <f t="shared" si="23"/>
        <v>1.1805555555555556</v>
      </c>
      <c r="T256" s="46">
        <f t="shared" si="24"/>
        <v>1.2638888888888919</v>
      </c>
      <c r="U256" s="50">
        <f>IF($I256&lt;$P256,1,0)</f>
        <v>1</v>
      </c>
      <c r="V256" s="50">
        <f>IF($I256=$P256,1,0)</f>
        <v>0</v>
      </c>
      <c r="W256" s="50">
        <f>IF($I256&gt;$P256,1,0)</f>
        <v>0</v>
      </c>
    </row>
    <row r="257" spans="1:23" x14ac:dyDescent="0.6">
      <c r="A257" s="41" t="s">
        <v>250</v>
      </c>
      <c r="B257" s="50">
        <v>75</v>
      </c>
      <c r="C257" s="51" t="s">
        <v>970</v>
      </c>
      <c r="D257" s="25" t="s">
        <v>976</v>
      </c>
      <c r="E257" s="25" t="s">
        <v>982</v>
      </c>
      <c r="F257" s="50">
        <v>6</v>
      </c>
      <c r="G257" s="50">
        <f t="shared" si="19"/>
        <v>1457</v>
      </c>
      <c r="H257" s="57">
        <v>1925</v>
      </c>
      <c r="I257" s="32">
        <v>1457</v>
      </c>
      <c r="J257" s="32">
        <v>1458</v>
      </c>
      <c r="K257" s="32">
        <v>7.51</v>
      </c>
      <c r="L257" s="46">
        <f t="shared" si="20"/>
        <v>32.12079615648593</v>
      </c>
      <c r="M257" s="46">
        <f t="shared" si="21"/>
        <v>0</v>
      </c>
      <c r="N257" s="46">
        <f t="shared" si="22"/>
        <v>6.8634179821551136E-2</v>
      </c>
      <c r="O257" s="41" t="s">
        <v>1</v>
      </c>
      <c r="P257" s="50">
        <v>1468</v>
      </c>
      <c r="Q257" s="30">
        <v>1470.8</v>
      </c>
      <c r="R257" s="33">
        <v>25.01922386</v>
      </c>
      <c r="S257" s="46">
        <f t="shared" si="23"/>
        <v>0.7549759780370624</v>
      </c>
      <c r="T257" s="46">
        <f t="shared" si="24"/>
        <v>0.94715168153740248</v>
      </c>
      <c r="U257" s="50">
        <f>IF($I257&lt;$P257,1,0)</f>
        <v>1</v>
      </c>
      <c r="V257" s="50">
        <f>IF($I257=$P257,1,0)</f>
        <v>0</v>
      </c>
      <c r="W257" s="50">
        <f>IF($I257&gt;$P257,1,0)</f>
        <v>0</v>
      </c>
    </row>
    <row r="258" spans="1:23" x14ac:dyDescent="0.6">
      <c r="A258" s="41" t="s">
        <v>251</v>
      </c>
      <c r="B258" s="50">
        <v>75</v>
      </c>
      <c r="C258" s="51" t="s">
        <v>970</v>
      </c>
      <c r="D258" s="25" t="s">
        <v>976</v>
      </c>
      <c r="E258" s="25" t="s">
        <v>982</v>
      </c>
      <c r="F258" s="50">
        <v>7</v>
      </c>
      <c r="G258" s="50">
        <f t="shared" si="19"/>
        <v>1459</v>
      </c>
      <c r="H258" s="57">
        <v>2013</v>
      </c>
      <c r="I258" s="32">
        <v>1459</v>
      </c>
      <c r="J258" s="32">
        <v>1459.6</v>
      </c>
      <c r="K258" s="32">
        <v>7.51</v>
      </c>
      <c r="L258" s="46">
        <f t="shared" si="20"/>
        <v>37.971213159698422</v>
      </c>
      <c r="M258" s="46">
        <f t="shared" si="21"/>
        <v>0</v>
      </c>
      <c r="N258" s="46">
        <f t="shared" si="22"/>
        <v>4.112405757367437E-2</v>
      </c>
      <c r="O258" s="41" t="s">
        <v>1</v>
      </c>
      <c r="P258" s="50">
        <v>1472</v>
      </c>
      <c r="Q258" s="30">
        <v>1476.8</v>
      </c>
      <c r="R258" s="33">
        <v>24.767507219999999</v>
      </c>
      <c r="S258" s="46">
        <f t="shared" si="23"/>
        <v>0.89102124742974653</v>
      </c>
      <c r="T258" s="46">
        <f t="shared" si="24"/>
        <v>1.220013708019188</v>
      </c>
      <c r="U258" s="50">
        <f>IF($I258&lt;$P258,1,0)</f>
        <v>1</v>
      </c>
      <c r="V258" s="50">
        <f>IF($I258=$P258,1,0)</f>
        <v>0</v>
      </c>
      <c r="W258" s="50">
        <f>IF($I258&gt;$P258,1,0)</f>
        <v>0</v>
      </c>
    </row>
    <row r="259" spans="1:23" x14ac:dyDescent="0.6">
      <c r="A259" s="41" t="s">
        <v>252</v>
      </c>
      <c r="B259" s="50">
        <v>75</v>
      </c>
      <c r="C259" s="51" t="s">
        <v>970</v>
      </c>
      <c r="D259" s="25" t="s">
        <v>976</v>
      </c>
      <c r="E259" s="25" t="s">
        <v>982</v>
      </c>
      <c r="F259" s="50">
        <v>8</v>
      </c>
      <c r="G259" s="50">
        <f t="shared" ref="G259:G322" si="25">MIN(I259,P259)</f>
        <v>1467</v>
      </c>
      <c r="H259" s="57">
        <v>1896</v>
      </c>
      <c r="I259" s="32">
        <v>1467</v>
      </c>
      <c r="J259" s="32">
        <v>1467.6</v>
      </c>
      <c r="K259" s="32">
        <v>7.51</v>
      </c>
      <c r="L259" s="46">
        <f t="shared" ref="L259:L322" si="26">(H259-$G259)/$G259*100</f>
        <v>29.243353783231086</v>
      </c>
      <c r="M259" s="46">
        <f t="shared" ref="M259:M322" si="27">(I259-$G259)/$G259*100</f>
        <v>0</v>
      </c>
      <c r="N259" s="46">
        <f t="shared" ref="N259:N322" si="28">(J259-$G259)/$G259*100</f>
        <v>4.0899795501016294E-2</v>
      </c>
      <c r="O259" s="41" t="s">
        <v>1</v>
      </c>
      <c r="P259" s="50">
        <v>1476</v>
      </c>
      <c r="Q259" s="30">
        <v>1482.6</v>
      </c>
      <c r="R259" s="33">
        <v>25.59717732</v>
      </c>
      <c r="S259" s="46">
        <f t="shared" ref="S259:S322" si="29">(P259-$G259)/$G259*100</f>
        <v>0.61349693251533743</v>
      </c>
      <c r="T259" s="46">
        <f t="shared" ref="T259:T322" si="30">(Q259-$G259)/$G259*100</f>
        <v>1.0633946830265786</v>
      </c>
      <c r="U259" s="50">
        <f>IF($I259&lt;$P259,1,0)</f>
        <v>1</v>
      </c>
      <c r="V259" s="50">
        <f>IF($I259=$P259,1,0)</f>
        <v>0</v>
      </c>
      <c r="W259" s="50">
        <f>IF($I259&gt;$P259,1,0)</f>
        <v>0</v>
      </c>
    </row>
    <row r="260" spans="1:23" x14ac:dyDescent="0.6">
      <c r="A260" s="41" t="s">
        <v>253</v>
      </c>
      <c r="B260" s="50">
        <v>75</v>
      </c>
      <c r="C260" s="51" t="s">
        <v>970</v>
      </c>
      <c r="D260" s="25" t="s">
        <v>976</v>
      </c>
      <c r="E260" s="25" t="s">
        <v>982</v>
      </c>
      <c r="F260" s="50">
        <v>9</v>
      </c>
      <c r="G260" s="50">
        <f t="shared" si="25"/>
        <v>1453</v>
      </c>
      <c r="H260" s="57">
        <v>1935</v>
      </c>
      <c r="I260" s="32">
        <v>1453</v>
      </c>
      <c r="J260" s="32">
        <v>1453.6</v>
      </c>
      <c r="K260" s="32">
        <v>7.51</v>
      </c>
      <c r="L260" s="46">
        <f t="shared" si="26"/>
        <v>33.17274604267034</v>
      </c>
      <c r="M260" s="46">
        <f t="shared" si="27"/>
        <v>0</v>
      </c>
      <c r="N260" s="46">
        <f t="shared" si="28"/>
        <v>4.1293874741907023E-2</v>
      </c>
      <c r="O260" s="41" t="s">
        <v>1</v>
      </c>
      <c r="P260" s="50">
        <v>1465</v>
      </c>
      <c r="Q260" s="30">
        <v>1469</v>
      </c>
      <c r="R260" s="33">
        <v>26.14884026</v>
      </c>
      <c r="S260" s="46">
        <f t="shared" si="29"/>
        <v>0.82587749483826567</v>
      </c>
      <c r="T260" s="46">
        <f t="shared" si="30"/>
        <v>1.1011699931176875</v>
      </c>
      <c r="U260" s="50">
        <f>IF($I260&lt;$P260,1,0)</f>
        <v>1</v>
      </c>
      <c r="V260" s="50">
        <f>IF($I260=$P260,1,0)</f>
        <v>0</v>
      </c>
      <c r="W260" s="50">
        <f>IF($I260&gt;$P260,1,0)</f>
        <v>0</v>
      </c>
    </row>
    <row r="261" spans="1:23" x14ac:dyDescent="0.6">
      <c r="A261" s="41" t="s">
        <v>254</v>
      </c>
      <c r="B261" s="50">
        <v>75</v>
      </c>
      <c r="C261" s="51" t="s">
        <v>970</v>
      </c>
      <c r="D261" s="25" t="s">
        <v>976</v>
      </c>
      <c r="E261" s="25" t="s">
        <v>982</v>
      </c>
      <c r="F261" s="50">
        <v>10</v>
      </c>
      <c r="G261" s="50">
        <f t="shared" si="25"/>
        <v>1433</v>
      </c>
      <c r="H261" s="57">
        <v>1937</v>
      </c>
      <c r="I261" s="32">
        <v>1433</v>
      </c>
      <c r="J261" s="32">
        <v>1433.4</v>
      </c>
      <c r="K261" s="32">
        <v>7.51</v>
      </c>
      <c r="L261" s="46">
        <f t="shared" si="26"/>
        <v>35.170969993021636</v>
      </c>
      <c r="M261" s="46">
        <f t="shared" si="27"/>
        <v>0</v>
      </c>
      <c r="N261" s="46">
        <f t="shared" si="28"/>
        <v>2.7913468248436216E-2</v>
      </c>
      <c r="O261" s="41" t="s">
        <v>1</v>
      </c>
      <c r="P261" s="50">
        <v>1446</v>
      </c>
      <c r="Q261" s="30">
        <v>1450.6</v>
      </c>
      <c r="R261" s="33">
        <v>26.2522427</v>
      </c>
      <c r="S261" s="46">
        <f t="shared" si="29"/>
        <v>0.90718771807397069</v>
      </c>
      <c r="T261" s="46">
        <f t="shared" si="30"/>
        <v>1.2281926029309078</v>
      </c>
      <c r="U261" s="50">
        <f>IF($I261&lt;$P261,1,0)</f>
        <v>1</v>
      </c>
      <c r="V261" s="50">
        <f>IF($I261=$P261,1,0)</f>
        <v>0</v>
      </c>
      <c r="W261" s="50">
        <f>IF($I261&gt;$P261,1,0)</f>
        <v>0</v>
      </c>
    </row>
    <row r="262" spans="1:23" x14ac:dyDescent="0.6">
      <c r="A262" s="41" t="s">
        <v>255</v>
      </c>
      <c r="B262" s="50">
        <v>75</v>
      </c>
      <c r="C262" s="51" t="s">
        <v>970</v>
      </c>
      <c r="D262" s="25" t="s">
        <v>979</v>
      </c>
      <c r="E262" s="25" t="s">
        <v>981</v>
      </c>
      <c r="F262" s="50">
        <v>1</v>
      </c>
      <c r="G262" s="50">
        <f t="shared" si="25"/>
        <v>1820</v>
      </c>
      <c r="H262" s="57">
        <v>2024</v>
      </c>
      <c r="I262" s="32">
        <v>1820</v>
      </c>
      <c r="J262" s="32">
        <v>1820.4</v>
      </c>
      <c r="K262" s="32">
        <v>7.51</v>
      </c>
      <c r="L262" s="46">
        <f t="shared" si="26"/>
        <v>11.20879120879121</v>
      </c>
      <c r="M262" s="46">
        <f t="shared" si="27"/>
        <v>0</v>
      </c>
      <c r="N262" s="46">
        <f t="shared" si="28"/>
        <v>2.1978021978026976E-2</v>
      </c>
      <c r="O262" s="41" t="s">
        <v>1</v>
      </c>
      <c r="P262" s="50">
        <v>1833</v>
      </c>
      <c r="Q262" s="30">
        <v>1837.8</v>
      </c>
      <c r="R262" s="33">
        <v>24.572610879999999</v>
      </c>
      <c r="S262" s="46">
        <f t="shared" si="29"/>
        <v>0.7142857142857143</v>
      </c>
      <c r="T262" s="46">
        <f t="shared" si="30"/>
        <v>0.97802197802197544</v>
      </c>
      <c r="U262" s="50">
        <f>IF($I262&lt;$P262,1,0)</f>
        <v>1</v>
      </c>
      <c r="V262" s="50">
        <f>IF($I262=$P262,1,0)</f>
        <v>0</v>
      </c>
      <c r="W262" s="50">
        <f>IF($I262&gt;$P262,1,0)</f>
        <v>0</v>
      </c>
    </row>
    <row r="263" spans="1:23" x14ac:dyDescent="0.6">
      <c r="A263" s="41" t="s">
        <v>256</v>
      </c>
      <c r="B263" s="50">
        <v>75</v>
      </c>
      <c r="C263" s="51" t="s">
        <v>970</v>
      </c>
      <c r="D263" s="25" t="s">
        <v>979</v>
      </c>
      <c r="E263" s="25" t="s">
        <v>983</v>
      </c>
      <c r="F263" s="50">
        <v>2</v>
      </c>
      <c r="G263" s="50">
        <f t="shared" si="25"/>
        <v>1809</v>
      </c>
      <c r="H263" s="57">
        <v>1987</v>
      </c>
      <c r="I263" s="32">
        <v>1809</v>
      </c>
      <c r="J263" s="32">
        <v>1809.4</v>
      </c>
      <c r="K263" s="32">
        <v>7.51</v>
      </c>
      <c r="L263" s="46">
        <f t="shared" si="26"/>
        <v>9.8396904367053608</v>
      </c>
      <c r="M263" s="46">
        <f t="shared" si="27"/>
        <v>0</v>
      </c>
      <c r="N263" s="46">
        <f t="shared" si="28"/>
        <v>2.2111663902713706E-2</v>
      </c>
      <c r="O263" s="41" t="s">
        <v>1</v>
      </c>
      <c r="P263" s="50">
        <v>1821</v>
      </c>
      <c r="Q263" s="30">
        <v>1824</v>
      </c>
      <c r="R263" s="33">
        <v>24.102673639999999</v>
      </c>
      <c r="S263" s="46">
        <f t="shared" si="29"/>
        <v>0.66334991708126034</v>
      </c>
      <c r="T263" s="46">
        <f t="shared" si="30"/>
        <v>0.82918739635157546</v>
      </c>
      <c r="U263" s="50">
        <f>IF($I263&lt;$P263,1,0)</f>
        <v>1</v>
      </c>
      <c r="V263" s="50">
        <f>IF($I263=$P263,1,0)</f>
        <v>0</v>
      </c>
      <c r="W263" s="50">
        <f>IF($I263&gt;$P263,1,0)</f>
        <v>0</v>
      </c>
    </row>
    <row r="264" spans="1:23" x14ac:dyDescent="0.6">
      <c r="A264" s="41" t="s">
        <v>257</v>
      </c>
      <c r="B264" s="50">
        <v>75</v>
      </c>
      <c r="C264" s="51" t="s">
        <v>970</v>
      </c>
      <c r="D264" s="25" t="s">
        <v>978</v>
      </c>
      <c r="E264" s="25" t="s">
        <v>980</v>
      </c>
      <c r="F264" s="50">
        <v>3</v>
      </c>
      <c r="G264" s="50">
        <f t="shared" si="25"/>
        <v>1825</v>
      </c>
      <c r="H264" s="57">
        <v>1999</v>
      </c>
      <c r="I264" s="32">
        <v>1825</v>
      </c>
      <c r="J264" s="32">
        <v>1825.4</v>
      </c>
      <c r="K264" s="32">
        <v>7.51</v>
      </c>
      <c r="L264" s="46">
        <f t="shared" si="26"/>
        <v>9.5342465753424666</v>
      </c>
      <c r="M264" s="46">
        <f t="shared" si="27"/>
        <v>0</v>
      </c>
      <c r="N264" s="46">
        <f t="shared" si="28"/>
        <v>2.1917808219183064E-2</v>
      </c>
      <c r="O264" s="41" t="s">
        <v>1</v>
      </c>
      <c r="P264" s="50">
        <v>1835</v>
      </c>
      <c r="Q264" s="30">
        <v>1838.6</v>
      </c>
      <c r="R264" s="33">
        <v>24.179446540000001</v>
      </c>
      <c r="S264" s="46">
        <f t="shared" si="29"/>
        <v>0.54794520547945202</v>
      </c>
      <c r="T264" s="46">
        <f t="shared" si="30"/>
        <v>0.74520547945204985</v>
      </c>
      <c r="U264" s="50">
        <f>IF($I264&lt;$P264,1,0)</f>
        <v>1</v>
      </c>
      <c r="V264" s="50">
        <f>IF($I264=$P264,1,0)</f>
        <v>0</v>
      </c>
      <c r="W264" s="50">
        <f>IF($I264&gt;$P264,1,0)</f>
        <v>0</v>
      </c>
    </row>
    <row r="265" spans="1:23" x14ac:dyDescent="0.6">
      <c r="A265" s="41" t="s">
        <v>258</v>
      </c>
      <c r="B265" s="50">
        <v>75</v>
      </c>
      <c r="C265" s="51" t="s">
        <v>970</v>
      </c>
      <c r="D265" s="25" t="s">
        <v>978</v>
      </c>
      <c r="E265" s="25" t="s">
        <v>980</v>
      </c>
      <c r="F265" s="50">
        <v>4</v>
      </c>
      <c r="G265" s="50">
        <f t="shared" si="25"/>
        <v>1826</v>
      </c>
      <c r="H265" s="57">
        <v>1950</v>
      </c>
      <c r="I265" s="32">
        <v>1826</v>
      </c>
      <c r="J265" s="32">
        <v>1826.6</v>
      </c>
      <c r="K265" s="32">
        <v>7.51</v>
      </c>
      <c r="L265" s="46">
        <f t="shared" si="26"/>
        <v>6.7907995618838992</v>
      </c>
      <c r="M265" s="46">
        <f t="shared" si="27"/>
        <v>0</v>
      </c>
      <c r="N265" s="46">
        <f t="shared" si="28"/>
        <v>3.2858707557497757E-2</v>
      </c>
      <c r="O265" s="41" t="s">
        <v>1</v>
      </c>
      <c r="P265" s="50">
        <v>1838</v>
      </c>
      <c r="Q265" s="30">
        <v>1840.8</v>
      </c>
      <c r="R265" s="33">
        <v>24.44275644</v>
      </c>
      <c r="S265" s="46">
        <f t="shared" si="29"/>
        <v>0.65717415115005473</v>
      </c>
      <c r="T265" s="46">
        <f t="shared" si="30"/>
        <v>0.81051478641839836</v>
      </c>
      <c r="U265" s="50">
        <f>IF($I265&lt;$P265,1,0)</f>
        <v>1</v>
      </c>
      <c r="V265" s="50">
        <f>IF($I265=$P265,1,0)</f>
        <v>0</v>
      </c>
      <c r="W265" s="50">
        <f>IF($I265&gt;$P265,1,0)</f>
        <v>0</v>
      </c>
    </row>
    <row r="266" spans="1:23" x14ac:dyDescent="0.6">
      <c r="A266" s="41" t="s">
        <v>259</v>
      </c>
      <c r="B266" s="50">
        <v>75</v>
      </c>
      <c r="C266" s="51" t="s">
        <v>970</v>
      </c>
      <c r="D266" s="25" t="s">
        <v>978</v>
      </c>
      <c r="E266" s="25" t="s">
        <v>980</v>
      </c>
      <c r="F266" s="50">
        <v>5</v>
      </c>
      <c r="G266" s="50">
        <f t="shared" si="25"/>
        <v>1809</v>
      </c>
      <c r="H266" s="57">
        <v>2099</v>
      </c>
      <c r="I266" s="32">
        <v>1809</v>
      </c>
      <c r="J266" s="32">
        <v>1810.2</v>
      </c>
      <c r="K266" s="32">
        <v>7.5</v>
      </c>
      <c r="L266" s="46">
        <f t="shared" si="26"/>
        <v>16.030956329463791</v>
      </c>
      <c r="M266" s="46">
        <f t="shared" si="27"/>
        <v>0</v>
      </c>
      <c r="N266" s="46">
        <f t="shared" si="28"/>
        <v>6.6334991708128552E-2</v>
      </c>
      <c r="O266" s="41" t="s">
        <v>1</v>
      </c>
      <c r="P266" s="50">
        <v>1821</v>
      </c>
      <c r="Q266" s="30">
        <v>1827.2</v>
      </c>
      <c r="R266" s="33">
        <v>24.94005962</v>
      </c>
      <c r="S266" s="46">
        <f t="shared" si="29"/>
        <v>0.66334991708126034</v>
      </c>
      <c r="T266" s="46">
        <f t="shared" si="30"/>
        <v>1.0060807075732474</v>
      </c>
      <c r="U266" s="50">
        <f>IF($I266&lt;$P266,1,0)</f>
        <v>1</v>
      </c>
      <c r="V266" s="50">
        <f>IF($I266=$P266,1,0)</f>
        <v>0</v>
      </c>
      <c r="W266" s="50">
        <f>IF($I266&gt;$P266,1,0)</f>
        <v>0</v>
      </c>
    </row>
    <row r="267" spans="1:23" x14ac:dyDescent="0.6">
      <c r="A267" s="41" t="s">
        <v>260</v>
      </c>
      <c r="B267" s="50">
        <v>75</v>
      </c>
      <c r="C267" s="51" t="s">
        <v>970</v>
      </c>
      <c r="D267" s="25" t="s">
        <v>978</v>
      </c>
      <c r="E267" s="25" t="s">
        <v>980</v>
      </c>
      <c r="F267" s="50">
        <v>6</v>
      </c>
      <c r="G267" s="50">
        <f t="shared" si="25"/>
        <v>1826</v>
      </c>
      <c r="H267" s="57">
        <v>2058</v>
      </c>
      <c r="I267" s="32">
        <v>1826</v>
      </c>
      <c r="J267" s="32">
        <v>1826.8</v>
      </c>
      <c r="K267" s="32">
        <v>7.5</v>
      </c>
      <c r="L267" s="46">
        <f t="shared" si="26"/>
        <v>12.705366922234393</v>
      </c>
      <c r="M267" s="46">
        <f t="shared" si="27"/>
        <v>0</v>
      </c>
      <c r="N267" s="46">
        <f t="shared" si="28"/>
        <v>4.3811610076667826E-2</v>
      </c>
      <c r="O267" s="41" t="s">
        <v>1</v>
      </c>
      <c r="P267" s="50">
        <v>1834</v>
      </c>
      <c r="Q267" s="30">
        <v>1838.4</v>
      </c>
      <c r="R267" s="33">
        <v>24.287488199999999</v>
      </c>
      <c r="S267" s="46">
        <f t="shared" si="29"/>
        <v>0.43811610076670315</v>
      </c>
      <c r="T267" s="46">
        <f t="shared" si="30"/>
        <v>0.6790799561883949</v>
      </c>
      <c r="U267" s="50">
        <f>IF($I267&lt;$P267,1,0)</f>
        <v>1</v>
      </c>
      <c r="V267" s="50">
        <f>IF($I267=$P267,1,0)</f>
        <v>0</v>
      </c>
      <c r="W267" s="50">
        <f>IF($I267&gt;$P267,1,0)</f>
        <v>0</v>
      </c>
    </row>
    <row r="268" spans="1:23" x14ac:dyDescent="0.6">
      <c r="A268" s="41" t="s">
        <v>261</v>
      </c>
      <c r="B268" s="50">
        <v>75</v>
      </c>
      <c r="C268" s="51" t="s">
        <v>970</v>
      </c>
      <c r="D268" s="25" t="s">
        <v>978</v>
      </c>
      <c r="E268" s="25" t="s">
        <v>980</v>
      </c>
      <c r="F268" s="50">
        <v>7</v>
      </c>
      <c r="G268" s="50">
        <f t="shared" si="25"/>
        <v>1828</v>
      </c>
      <c r="H268" s="57">
        <v>2061</v>
      </c>
      <c r="I268" s="32">
        <v>1828</v>
      </c>
      <c r="J268" s="32">
        <v>1829.2</v>
      </c>
      <c r="K268" s="32">
        <v>7.51</v>
      </c>
      <c r="L268" s="46">
        <f t="shared" si="26"/>
        <v>12.746170678336979</v>
      </c>
      <c r="M268" s="46">
        <f t="shared" si="27"/>
        <v>0</v>
      </c>
      <c r="N268" s="46">
        <f t="shared" si="28"/>
        <v>6.5645514223197227E-2</v>
      </c>
      <c r="O268" s="41" t="s">
        <v>1</v>
      </c>
      <c r="P268" s="50">
        <v>1838</v>
      </c>
      <c r="Q268" s="30">
        <v>1842.8</v>
      </c>
      <c r="R268" s="33">
        <v>24.940764699999999</v>
      </c>
      <c r="S268" s="46">
        <f t="shared" si="29"/>
        <v>0.54704595185995619</v>
      </c>
      <c r="T268" s="46">
        <f t="shared" si="30"/>
        <v>0.80962800875273278</v>
      </c>
      <c r="U268" s="50">
        <f>IF($I268&lt;$P268,1,0)</f>
        <v>1</v>
      </c>
      <c r="V268" s="50">
        <f>IF($I268=$P268,1,0)</f>
        <v>0</v>
      </c>
      <c r="W268" s="50">
        <f>IF($I268&gt;$P268,1,0)</f>
        <v>0</v>
      </c>
    </row>
    <row r="269" spans="1:23" x14ac:dyDescent="0.6">
      <c r="A269" s="41" t="s">
        <v>262</v>
      </c>
      <c r="B269" s="50">
        <v>75</v>
      </c>
      <c r="C269" s="51" t="s">
        <v>970</v>
      </c>
      <c r="D269" s="25" t="s">
        <v>978</v>
      </c>
      <c r="E269" s="25" t="s">
        <v>980</v>
      </c>
      <c r="F269" s="50">
        <v>8</v>
      </c>
      <c r="G269" s="50">
        <f t="shared" si="25"/>
        <v>1836</v>
      </c>
      <c r="H269" s="57">
        <v>2016</v>
      </c>
      <c r="I269" s="32">
        <v>1836</v>
      </c>
      <c r="J269" s="32">
        <v>1836.6</v>
      </c>
      <c r="K269" s="32">
        <v>7.5</v>
      </c>
      <c r="L269" s="46">
        <f t="shared" si="26"/>
        <v>9.8039215686274517</v>
      </c>
      <c r="M269" s="46">
        <f t="shared" si="27"/>
        <v>0</v>
      </c>
      <c r="N269" s="46">
        <f t="shared" si="28"/>
        <v>3.2679738562086551E-2</v>
      </c>
      <c r="O269" s="41" t="s">
        <v>1</v>
      </c>
      <c r="P269" s="50">
        <v>1847</v>
      </c>
      <c r="Q269" s="30">
        <v>1850.8</v>
      </c>
      <c r="R269" s="33">
        <v>24.986395380000001</v>
      </c>
      <c r="S269" s="46">
        <f t="shared" si="29"/>
        <v>0.59912854030501084</v>
      </c>
      <c r="T269" s="46">
        <f t="shared" si="30"/>
        <v>0.80610021786492125</v>
      </c>
      <c r="U269" s="50">
        <f>IF($I269&lt;$P269,1,0)</f>
        <v>1</v>
      </c>
      <c r="V269" s="50">
        <f>IF($I269=$P269,1,0)</f>
        <v>0</v>
      </c>
      <c r="W269" s="50">
        <f>IF($I269&gt;$P269,1,0)</f>
        <v>0</v>
      </c>
    </row>
    <row r="270" spans="1:23" x14ac:dyDescent="0.6">
      <c r="A270" s="41" t="s">
        <v>263</v>
      </c>
      <c r="B270" s="50">
        <v>75</v>
      </c>
      <c r="C270" s="51" t="s">
        <v>970</v>
      </c>
      <c r="D270" s="25" t="s">
        <v>978</v>
      </c>
      <c r="E270" s="25" t="s">
        <v>980</v>
      </c>
      <c r="F270" s="50">
        <v>9</v>
      </c>
      <c r="G270" s="50">
        <f t="shared" si="25"/>
        <v>1822</v>
      </c>
      <c r="H270" s="57">
        <v>2025</v>
      </c>
      <c r="I270" s="32">
        <v>1822</v>
      </c>
      <c r="J270" s="32">
        <v>1823</v>
      </c>
      <c r="K270" s="32">
        <v>7.51</v>
      </c>
      <c r="L270" s="46">
        <f t="shared" si="26"/>
        <v>11.141602634467617</v>
      </c>
      <c r="M270" s="46">
        <f t="shared" si="27"/>
        <v>0</v>
      </c>
      <c r="N270" s="46">
        <f t="shared" si="28"/>
        <v>5.4884742041712405E-2</v>
      </c>
      <c r="O270" s="41" t="s">
        <v>1</v>
      </c>
      <c r="P270" s="50">
        <v>1830</v>
      </c>
      <c r="Q270" s="30">
        <v>1836.4</v>
      </c>
      <c r="R270" s="33">
        <v>24.813760479999999</v>
      </c>
      <c r="S270" s="46">
        <f t="shared" si="29"/>
        <v>0.43907793633369924</v>
      </c>
      <c r="T270" s="46">
        <f t="shared" si="30"/>
        <v>0.7903402854006637</v>
      </c>
      <c r="U270" s="50">
        <f>IF($I270&lt;$P270,1,0)</f>
        <v>1</v>
      </c>
      <c r="V270" s="50">
        <f>IF($I270=$P270,1,0)</f>
        <v>0</v>
      </c>
      <c r="W270" s="50">
        <f>IF($I270&gt;$P270,1,0)</f>
        <v>0</v>
      </c>
    </row>
    <row r="271" spans="1:23" x14ac:dyDescent="0.6">
      <c r="A271" s="41" t="s">
        <v>264</v>
      </c>
      <c r="B271" s="50">
        <v>75</v>
      </c>
      <c r="C271" s="51" t="s">
        <v>970</v>
      </c>
      <c r="D271" s="25" t="s">
        <v>978</v>
      </c>
      <c r="E271" s="25" t="s">
        <v>980</v>
      </c>
      <c r="F271" s="50">
        <v>10</v>
      </c>
      <c r="G271" s="50">
        <f t="shared" si="25"/>
        <v>1802</v>
      </c>
      <c r="H271" s="57">
        <v>2015</v>
      </c>
      <c r="I271" s="32">
        <v>1802</v>
      </c>
      <c r="J271" s="32">
        <v>1802.8</v>
      </c>
      <c r="K271" s="32">
        <v>7.51</v>
      </c>
      <c r="L271" s="46">
        <f t="shared" si="26"/>
        <v>11.820199778024417</v>
      </c>
      <c r="M271" s="46">
        <f t="shared" si="27"/>
        <v>0</v>
      </c>
      <c r="N271" s="46">
        <f t="shared" si="28"/>
        <v>4.4395116537178383E-2</v>
      </c>
      <c r="O271" s="41" t="s">
        <v>1</v>
      </c>
      <c r="P271" s="50">
        <v>1814</v>
      </c>
      <c r="Q271" s="30">
        <v>1819.2</v>
      </c>
      <c r="R271" s="33">
        <v>25.077733340000002</v>
      </c>
      <c r="S271" s="46">
        <f t="shared" si="29"/>
        <v>0.66592674805771357</v>
      </c>
      <c r="T271" s="46">
        <f t="shared" si="30"/>
        <v>0.95449500554939204</v>
      </c>
      <c r="U271" s="50">
        <f>IF($I271&lt;$P271,1,0)</f>
        <v>1</v>
      </c>
      <c r="V271" s="50">
        <f>IF($I271=$P271,1,0)</f>
        <v>0</v>
      </c>
      <c r="W271" s="50">
        <f>IF($I271&gt;$P271,1,0)</f>
        <v>0</v>
      </c>
    </row>
    <row r="272" spans="1:23" x14ac:dyDescent="0.6">
      <c r="A272" s="41" t="s">
        <v>265</v>
      </c>
      <c r="B272" s="50">
        <v>75</v>
      </c>
      <c r="C272" s="51" t="s">
        <v>970</v>
      </c>
      <c r="D272" s="25" t="s">
        <v>978</v>
      </c>
      <c r="E272" s="25" t="s">
        <v>984</v>
      </c>
      <c r="F272" s="50">
        <v>1</v>
      </c>
      <c r="G272" s="50">
        <f t="shared" si="25"/>
        <v>1821</v>
      </c>
      <c r="H272" s="57">
        <v>2189</v>
      </c>
      <c r="I272" s="32">
        <v>1821</v>
      </c>
      <c r="J272" s="32">
        <v>1821.2</v>
      </c>
      <c r="K272" s="32">
        <v>7.51</v>
      </c>
      <c r="L272" s="46">
        <f t="shared" si="26"/>
        <v>20.208676551345413</v>
      </c>
      <c r="M272" s="46">
        <f t="shared" si="27"/>
        <v>0</v>
      </c>
      <c r="N272" s="46">
        <f t="shared" si="28"/>
        <v>1.0982976386603267E-2</v>
      </c>
      <c r="O272" s="41" t="s">
        <v>1</v>
      </c>
      <c r="P272" s="50">
        <v>1831</v>
      </c>
      <c r="Q272" s="30">
        <v>1837.6</v>
      </c>
      <c r="R272" s="33">
        <v>25.246028760000002</v>
      </c>
      <c r="S272" s="46">
        <f t="shared" si="29"/>
        <v>0.54914881933003845</v>
      </c>
      <c r="T272" s="46">
        <f t="shared" si="30"/>
        <v>0.91158704008785885</v>
      </c>
      <c r="U272" s="50">
        <f>IF($I272&lt;$P272,1,0)</f>
        <v>1</v>
      </c>
      <c r="V272" s="50">
        <f>IF($I272=$P272,1,0)</f>
        <v>0</v>
      </c>
      <c r="W272" s="50">
        <f>IF($I272&gt;$P272,1,0)</f>
        <v>0</v>
      </c>
    </row>
    <row r="273" spans="1:23" x14ac:dyDescent="0.6">
      <c r="A273" s="41" t="s">
        <v>266</v>
      </c>
      <c r="B273" s="50">
        <v>75</v>
      </c>
      <c r="C273" s="51" t="s">
        <v>970</v>
      </c>
      <c r="D273" s="25" t="s">
        <v>978</v>
      </c>
      <c r="E273" s="25" t="s">
        <v>984</v>
      </c>
      <c r="F273" s="50">
        <v>2</v>
      </c>
      <c r="G273" s="50">
        <f t="shared" si="25"/>
        <v>1809</v>
      </c>
      <c r="H273" s="57">
        <v>2166</v>
      </c>
      <c r="I273" s="32">
        <v>1809</v>
      </c>
      <c r="J273" s="32">
        <v>1809.6</v>
      </c>
      <c r="K273" s="32">
        <v>7.51</v>
      </c>
      <c r="L273" s="46">
        <f t="shared" si="26"/>
        <v>19.734660033167494</v>
      </c>
      <c r="M273" s="46">
        <f t="shared" si="27"/>
        <v>0</v>
      </c>
      <c r="N273" s="46">
        <f t="shared" si="28"/>
        <v>3.3167495854057996E-2</v>
      </c>
      <c r="O273" s="41" t="s">
        <v>1</v>
      </c>
      <c r="P273" s="50">
        <v>1819</v>
      </c>
      <c r="Q273" s="30">
        <v>1825.8</v>
      </c>
      <c r="R273" s="33">
        <v>25.023491400000001</v>
      </c>
      <c r="S273" s="46">
        <f t="shared" si="29"/>
        <v>0.55279159756771701</v>
      </c>
      <c r="T273" s="46">
        <f t="shared" si="30"/>
        <v>0.92868988391376206</v>
      </c>
      <c r="U273" s="50">
        <f>IF($I273&lt;$P273,1,0)</f>
        <v>1</v>
      </c>
      <c r="V273" s="50">
        <f>IF($I273=$P273,1,0)</f>
        <v>0</v>
      </c>
      <c r="W273" s="50">
        <f>IF($I273&gt;$P273,1,0)</f>
        <v>0</v>
      </c>
    </row>
    <row r="274" spans="1:23" x14ac:dyDescent="0.6">
      <c r="A274" s="41" t="s">
        <v>267</v>
      </c>
      <c r="B274" s="50">
        <v>75</v>
      </c>
      <c r="C274" s="51" t="s">
        <v>970</v>
      </c>
      <c r="D274" s="25" t="s">
        <v>978</v>
      </c>
      <c r="E274" s="25" t="s">
        <v>982</v>
      </c>
      <c r="F274" s="50">
        <v>3</v>
      </c>
      <c r="G274" s="50">
        <f t="shared" si="25"/>
        <v>1823</v>
      </c>
      <c r="H274" s="57">
        <v>2139</v>
      </c>
      <c r="I274" s="32">
        <v>1823</v>
      </c>
      <c r="J274" s="32">
        <v>1824.8</v>
      </c>
      <c r="K274" s="32">
        <v>7.5</v>
      </c>
      <c r="L274" s="46">
        <f t="shared" si="26"/>
        <v>17.334064728469556</v>
      </c>
      <c r="M274" s="46">
        <f t="shared" si="27"/>
        <v>0</v>
      </c>
      <c r="N274" s="46">
        <f t="shared" si="28"/>
        <v>9.8738343390013972E-2</v>
      </c>
      <c r="O274" s="41" t="s">
        <v>1</v>
      </c>
      <c r="P274" s="50">
        <v>1835</v>
      </c>
      <c r="Q274" s="30">
        <v>1839</v>
      </c>
      <c r="R274" s="33">
        <v>24.928126280000001</v>
      </c>
      <c r="S274" s="46">
        <f t="shared" si="29"/>
        <v>0.65825562260010972</v>
      </c>
      <c r="T274" s="46">
        <f t="shared" si="30"/>
        <v>0.87767416346681304</v>
      </c>
      <c r="U274" s="50">
        <f>IF($I274&lt;$P274,1,0)</f>
        <v>1</v>
      </c>
      <c r="V274" s="50">
        <f>IF($I274=$P274,1,0)</f>
        <v>0</v>
      </c>
      <c r="W274" s="50">
        <f>IF($I274&gt;$P274,1,0)</f>
        <v>0</v>
      </c>
    </row>
    <row r="275" spans="1:23" x14ac:dyDescent="0.6">
      <c r="A275" s="41" t="s">
        <v>268</v>
      </c>
      <c r="B275" s="50">
        <v>75</v>
      </c>
      <c r="C275" s="51" t="s">
        <v>970</v>
      </c>
      <c r="D275" s="25" t="s">
        <v>978</v>
      </c>
      <c r="E275" s="25" t="s">
        <v>982</v>
      </c>
      <c r="F275" s="50">
        <v>4</v>
      </c>
      <c r="G275" s="50">
        <f t="shared" si="25"/>
        <v>1826</v>
      </c>
      <c r="H275" s="57">
        <v>2077</v>
      </c>
      <c r="I275" s="32">
        <v>1826</v>
      </c>
      <c r="J275" s="32">
        <v>1827</v>
      </c>
      <c r="K275" s="32">
        <v>7.5</v>
      </c>
      <c r="L275" s="46">
        <f t="shared" si="26"/>
        <v>13.745892661555311</v>
      </c>
      <c r="M275" s="46">
        <f t="shared" si="27"/>
        <v>0</v>
      </c>
      <c r="N275" s="46">
        <f t="shared" si="28"/>
        <v>5.4764512595837894E-2</v>
      </c>
      <c r="O275" s="41" t="s">
        <v>1</v>
      </c>
      <c r="P275" s="50">
        <v>1836</v>
      </c>
      <c r="Q275" s="30">
        <v>1842</v>
      </c>
      <c r="R275" s="33">
        <v>24.365084599999999</v>
      </c>
      <c r="S275" s="46">
        <f t="shared" si="29"/>
        <v>0.547645125958379</v>
      </c>
      <c r="T275" s="46">
        <f t="shared" si="30"/>
        <v>0.87623220153340631</v>
      </c>
      <c r="U275" s="50">
        <f>IF($I275&lt;$P275,1,0)</f>
        <v>1</v>
      </c>
      <c r="V275" s="50">
        <f>IF($I275=$P275,1,0)</f>
        <v>0</v>
      </c>
      <c r="W275" s="50">
        <f>IF($I275&gt;$P275,1,0)</f>
        <v>0</v>
      </c>
    </row>
    <row r="276" spans="1:23" x14ac:dyDescent="0.6">
      <c r="A276" s="41" t="s">
        <v>269</v>
      </c>
      <c r="B276" s="50">
        <v>75</v>
      </c>
      <c r="C276" s="51" t="s">
        <v>970</v>
      </c>
      <c r="D276" s="25" t="s">
        <v>978</v>
      </c>
      <c r="E276" s="25" t="s">
        <v>982</v>
      </c>
      <c r="F276" s="50">
        <v>5</v>
      </c>
      <c r="G276" s="50">
        <f t="shared" si="25"/>
        <v>1809</v>
      </c>
      <c r="H276" s="57">
        <v>2359</v>
      </c>
      <c r="I276" s="32">
        <v>1809</v>
      </c>
      <c r="J276" s="32">
        <v>1811</v>
      </c>
      <c r="K276" s="32">
        <v>7.51</v>
      </c>
      <c r="L276" s="46">
        <f t="shared" si="26"/>
        <v>30.403537866224433</v>
      </c>
      <c r="M276" s="46">
        <f t="shared" si="27"/>
        <v>0</v>
      </c>
      <c r="N276" s="46">
        <f t="shared" si="28"/>
        <v>0.11055831951354339</v>
      </c>
      <c r="O276" s="41" t="s">
        <v>1</v>
      </c>
      <c r="P276" s="50">
        <v>1821</v>
      </c>
      <c r="Q276" s="30">
        <v>1824.2</v>
      </c>
      <c r="R276" s="33">
        <v>24.8211187</v>
      </c>
      <c r="S276" s="46">
        <f t="shared" si="29"/>
        <v>0.66334991708126034</v>
      </c>
      <c r="T276" s="46">
        <f t="shared" si="30"/>
        <v>0.84024322830293241</v>
      </c>
      <c r="U276" s="50">
        <f>IF($I276&lt;$P276,1,0)</f>
        <v>1</v>
      </c>
      <c r="V276" s="50">
        <f>IF($I276=$P276,1,0)</f>
        <v>0</v>
      </c>
      <c r="W276" s="50">
        <f>IF($I276&gt;$P276,1,0)</f>
        <v>0</v>
      </c>
    </row>
    <row r="277" spans="1:23" x14ac:dyDescent="0.6">
      <c r="A277" s="41" t="s">
        <v>270</v>
      </c>
      <c r="B277" s="50">
        <v>75</v>
      </c>
      <c r="C277" s="51" t="s">
        <v>970</v>
      </c>
      <c r="D277" s="25" t="s">
        <v>978</v>
      </c>
      <c r="E277" s="25" t="s">
        <v>982</v>
      </c>
      <c r="F277" s="50">
        <v>6</v>
      </c>
      <c r="G277" s="50">
        <f t="shared" si="25"/>
        <v>1826</v>
      </c>
      <c r="H277" s="57">
        <v>2240</v>
      </c>
      <c r="I277" s="32">
        <v>1826</v>
      </c>
      <c r="J277" s="32">
        <v>1827.4</v>
      </c>
      <c r="K277" s="32">
        <v>7.51</v>
      </c>
      <c r="L277" s="46">
        <f t="shared" si="26"/>
        <v>22.672508214676888</v>
      </c>
      <c r="M277" s="46">
        <f t="shared" si="27"/>
        <v>0</v>
      </c>
      <c r="N277" s="46">
        <f t="shared" si="28"/>
        <v>7.6670317634178031E-2</v>
      </c>
      <c r="O277" s="41" t="s">
        <v>1</v>
      </c>
      <c r="P277" s="50">
        <v>1841</v>
      </c>
      <c r="Q277" s="30">
        <v>1843.6</v>
      </c>
      <c r="R277" s="33">
        <v>24.491412319999998</v>
      </c>
      <c r="S277" s="46">
        <f t="shared" si="29"/>
        <v>0.8214676889375685</v>
      </c>
      <c r="T277" s="46">
        <f t="shared" si="30"/>
        <v>0.9638554216867421</v>
      </c>
      <c r="U277" s="50">
        <f>IF($I277&lt;$P277,1,0)</f>
        <v>1</v>
      </c>
      <c r="V277" s="50">
        <f>IF($I277=$P277,1,0)</f>
        <v>0</v>
      </c>
      <c r="W277" s="50">
        <f>IF($I277&gt;$P277,1,0)</f>
        <v>0</v>
      </c>
    </row>
    <row r="278" spans="1:23" x14ac:dyDescent="0.6">
      <c r="A278" s="41" t="s">
        <v>271</v>
      </c>
      <c r="B278" s="50">
        <v>75</v>
      </c>
      <c r="C278" s="51" t="s">
        <v>970</v>
      </c>
      <c r="D278" s="25" t="s">
        <v>978</v>
      </c>
      <c r="E278" s="25" t="s">
        <v>982</v>
      </c>
      <c r="F278" s="50">
        <v>7</v>
      </c>
      <c r="G278" s="50">
        <f t="shared" si="25"/>
        <v>1829</v>
      </c>
      <c r="H278" s="57">
        <v>2285</v>
      </c>
      <c r="I278" s="32">
        <v>1829</v>
      </c>
      <c r="J278" s="32">
        <v>1829.6</v>
      </c>
      <c r="K278" s="32">
        <v>7.51</v>
      </c>
      <c r="L278" s="46">
        <f t="shared" si="26"/>
        <v>24.931656642974303</v>
      </c>
      <c r="M278" s="46">
        <f t="shared" si="27"/>
        <v>0</v>
      </c>
      <c r="N278" s="46">
        <f t="shared" si="28"/>
        <v>3.2804811372329636E-2</v>
      </c>
      <c r="O278" s="41" t="s">
        <v>1</v>
      </c>
      <c r="P278" s="50">
        <v>1837</v>
      </c>
      <c r="Q278" s="30">
        <v>1843.2</v>
      </c>
      <c r="R278" s="33">
        <v>25.103562440000001</v>
      </c>
      <c r="S278" s="46">
        <f t="shared" si="29"/>
        <v>0.4373974849644614</v>
      </c>
      <c r="T278" s="46">
        <f t="shared" si="30"/>
        <v>0.77638053581192157</v>
      </c>
      <c r="U278" s="50">
        <f>IF($I278&lt;$P278,1,0)</f>
        <v>1</v>
      </c>
      <c r="V278" s="50">
        <f>IF($I278=$P278,1,0)</f>
        <v>0</v>
      </c>
      <c r="W278" s="50">
        <f>IF($I278&gt;$P278,1,0)</f>
        <v>0</v>
      </c>
    </row>
    <row r="279" spans="1:23" x14ac:dyDescent="0.6">
      <c r="A279" s="41" t="s">
        <v>272</v>
      </c>
      <c r="B279" s="50">
        <v>75</v>
      </c>
      <c r="C279" s="51" t="s">
        <v>970</v>
      </c>
      <c r="D279" s="25" t="s">
        <v>978</v>
      </c>
      <c r="E279" s="25" t="s">
        <v>982</v>
      </c>
      <c r="F279" s="50">
        <v>8</v>
      </c>
      <c r="G279" s="50">
        <f t="shared" si="25"/>
        <v>1836</v>
      </c>
      <c r="H279" s="57">
        <v>2211</v>
      </c>
      <c r="I279" s="32">
        <v>1836</v>
      </c>
      <c r="J279" s="32">
        <v>1837.2</v>
      </c>
      <c r="K279" s="32">
        <v>7.51</v>
      </c>
      <c r="L279" s="46">
        <f t="shared" si="26"/>
        <v>20.424836601307188</v>
      </c>
      <c r="M279" s="46">
        <f t="shared" si="27"/>
        <v>0</v>
      </c>
      <c r="N279" s="46">
        <f t="shared" si="28"/>
        <v>6.5359477124185481E-2</v>
      </c>
      <c r="O279" s="41" t="s">
        <v>1</v>
      </c>
      <c r="P279" s="50">
        <v>1849</v>
      </c>
      <c r="Q279" s="30">
        <v>1851.2</v>
      </c>
      <c r="R279" s="33">
        <v>25.271959899999999</v>
      </c>
      <c r="S279" s="46">
        <f t="shared" si="29"/>
        <v>0.7080610021786492</v>
      </c>
      <c r="T279" s="46">
        <f t="shared" si="30"/>
        <v>0.82788671023965399</v>
      </c>
      <c r="U279" s="50">
        <f>IF($I279&lt;$P279,1,0)</f>
        <v>1</v>
      </c>
      <c r="V279" s="50">
        <f>IF($I279=$P279,1,0)</f>
        <v>0</v>
      </c>
      <c r="W279" s="50">
        <f>IF($I279&gt;$P279,1,0)</f>
        <v>0</v>
      </c>
    </row>
    <row r="280" spans="1:23" x14ac:dyDescent="0.6">
      <c r="A280" s="41" t="s">
        <v>273</v>
      </c>
      <c r="B280" s="50">
        <v>75</v>
      </c>
      <c r="C280" s="51" t="s">
        <v>970</v>
      </c>
      <c r="D280" s="25" t="s">
        <v>978</v>
      </c>
      <c r="E280" s="25" t="s">
        <v>982</v>
      </c>
      <c r="F280" s="50">
        <v>9</v>
      </c>
      <c r="G280" s="50">
        <f t="shared" si="25"/>
        <v>1822</v>
      </c>
      <c r="H280" s="57">
        <v>2230</v>
      </c>
      <c r="I280" s="32">
        <v>1822</v>
      </c>
      <c r="J280" s="32">
        <v>1823.6</v>
      </c>
      <c r="K280" s="32">
        <v>7.51</v>
      </c>
      <c r="L280" s="46">
        <f t="shared" si="26"/>
        <v>22.39297475301866</v>
      </c>
      <c r="M280" s="46">
        <f t="shared" si="27"/>
        <v>0</v>
      </c>
      <c r="N280" s="46">
        <f t="shared" si="28"/>
        <v>8.7815587266734857E-2</v>
      </c>
      <c r="O280" s="41" t="s">
        <v>1</v>
      </c>
      <c r="P280" s="50">
        <v>1834</v>
      </c>
      <c r="Q280" s="30">
        <v>1837</v>
      </c>
      <c r="R280" s="33">
        <v>24.780767480000002</v>
      </c>
      <c r="S280" s="46">
        <f t="shared" si="29"/>
        <v>0.65861690450054877</v>
      </c>
      <c r="T280" s="46">
        <f t="shared" si="30"/>
        <v>0.82327113062568602</v>
      </c>
      <c r="U280" s="50">
        <f>IF($I280&lt;$P280,1,0)</f>
        <v>1</v>
      </c>
      <c r="V280" s="50">
        <f>IF($I280=$P280,1,0)</f>
        <v>0</v>
      </c>
      <c r="W280" s="50">
        <f>IF($I280&gt;$P280,1,0)</f>
        <v>0</v>
      </c>
    </row>
    <row r="281" spans="1:23" x14ac:dyDescent="0.6">
      <c r="A281" s="41" t="s">
        <v>274</v>
      </c>
      <c r="B281" s="50">
        <v>75</v>
      </c>
      <c r="C281" s="51" t="s">
        <v>970</v>
      </c>
      <c r="D281" s="25" t="s">
        <v>978</v>
      </c>
      <c r="E281" s="25" t="s">
        <v>982</v>
      </c>
      <c r="F281" s="50">
        <v>10</v>
      </c>
      <c r="G281" s="50">
        <f t="shared" si="25"/>
        <v>1802</v>
      </c>
      <c r="H281" s="57">
        <v>2234</v>
      </c>
      <c r="I281" s="32">
        <v>1802</v>
      </c>
      <c r="J281" s="32">
        <v>1803.4</v>
      </c>
      <c r="K281" s="32">
        <v>7.51</v>
      </c>
      <c r="L281" s="46">
        <f t="shared" si="26"/>
        <v>23.973362930077691</v>
      </c>
      <c r="M281" s="46">
        <f t="shared" si="27"/>
        <v>0</v>
      </c>
      <c r="N281" s="46">
        <f t="shared" si="28"/>
        <v>7.7691453940071639E-2</v>
      </c>
      <c r="O281" s="41" t="s">
        <v>1</v>
      </c>
      <c r="P281" s="50">
        <v>1817</v>
      </c>
      <c r="Q281" s="30">
        <v>1820.2</v>
      </c>
      <c r="R281" s="33">
        <v>25.326236300000001</v>
      </c>
      <c r="S281" s="46">
        <f t="shared" si="29"/>
        <v>0.83240843507214213</v>
      </c>
      <c r="T281" s="46">
        <f t="shared" si="30"/>
        <v>1.0099889012208683</v>
      </c>
      <c r="U281" s="50">
        <f>IF($I281&lt;$P281,1,0)</f>
        <v>1</v>
      </c>
      <c r="V281" s="50">
        <f>IF($I281=$P281,1,0)</f>
        <v>0</v>
      </c>
      <c r="W281" s="50">
        <f>IF($I281&gt;$P281,1,0)</f>
        <v>0</v>
      </c>
    </row>
    <row r="282" spans="1:23" x14ac:dyDescent="0.6">
      <c r="A282" s="41" t="s">
        <v>275</v>
      </c>
      <c r="B282" s="50">
        <v>75</v>
      </c>
      <c r="C282" s="25" t="s">
        <v>974</v>
      </c>
      <c r="D282" s="25" t="s">
        <v>977</v>
      </c>
      <c r="E282" s="25" t="s">
        <v>981</v>
      </c>
      <c r="F282" s="50">
        <v>1</v>
      </c>
      <c r="G282" s="50">
        <f t="shared" si="25"/>
        <v>2200</v>
      </c>
      <c r="H282" s="57">
        <v>2439</v>
      </c>
      <c r="I282" s="32">
        <v>2200</v>
      </c>
      <c r="J282" s="32">
        <v>2200.8000000000002</v>
      </c>
      <c r="K282" s="32">
        <v>7.51</v>
      </c>
      <c r="L282" s="46">
        <f t="shared" si="26"/>
        <v>10.863636363636363</v>
      </c>
      <c r="M282" s="46">
        <f t="shared" si="27"/>
        <v>0</v>
      </c>
      <c r="N282" s="46">
        <f t="shared" si="28"/>
        <v>3.6363636363644633E-2</v>
      </c>
      <c r="O282" s="41" t="s">
        <v>1</v>
      </c>
      <c r="P282" s="50">
        <v>2212</v>
      </c>
      <c r="Q282" s="30">
        <v>2215.1999999999998</v>
      </c>
      <c r="R282" s="33">
        <v>24.607616700000001</v>
      </c>
      <c r="S282" s="46">
        <f t="shared" si="29"/>
        <v>0.54545454545454553</v>
      </c>
      <c r="T282" s="46">
        <f t="shared" si="30"/>
        <v>0.6909090909090827</v>
      </c>
      <c r="U282" s="50">
        <f>IF($I282&lt;$P282,1,0)</f>
        <v>1</v>
      </c>
      <c r="V282" s="50">
        <f>IF($I282=$P282,1,0)</f>
        <v>0</v>
      </c>
      <c r="W282" s="50">
        <f>IF($I282&gt;$P282,1,0)</f>
        <v>0</v>
      </c>
    </row>
    <row r="283" spans="1:23" x14ac:dyDescent="0.6">
      <c r="A283" s="41" t="s">
        <v>276</v>
      </c>
      <c r="B283" s="50">
        <v>75</v>
      </c>
      <c r="C283" s="25" t="s">
        <v>974</v>
      </c>
      <c r="D283" s="25" t="s">
        <v>977</v>
      </c>
      <c r="E283" s="25" t="s">
        <v>983</v>
      </c>
      <c r="F283" s="50">
        <v>2</v>
      </c>
      <c r="G283" s="50">
        <f t="shared" si="25"/>
        <v>2189</v>
      </c>
      <c r="H283" s="57">
        <v>2407</v>
      </c>
      <c r="I283" s="32">
        <v>2189</v>
      </c>
      <c r="J283" s="32">
        <v>2189.4</v>
      </c>
      <c r="K283" s="32">
        <v>7.5</v>
      </c>
      <c r="L283" s="46">
        <f t="shared" si="26"/>
        <v>9.9588853357697591</v>
      </c>
      <c r="M283" s="46">
        <f t="shared" si="27"/>
        <v>0</v>
      </c>
      <c r="N283" s="46">
        <f t="shared" si="28"/>
        <v>1.8273184102333986E-2</v>
      </c>
      <c r="O283" s="41" t="s">
        <v>1</v>
      </c>
      <c r="P283" s="50">
        <v>2197</v>
      </c>
      <c r="Q283" s="30">
        <v>2204.4</v>
      </c>
      <c r="R283" s="33">
        <v>24.344438440000001</v>
      </c>
      <c r="S283" s="46">
        <f t="shared" si="29"/>
        <v>0.36546368204659663</v>
      </c>
      <c r="T283" s="46">
        <f t="shared" si="30"/>
        <v>0.70351758793970265</v>
      </c>
      <c r="U283" s="50">
        <f>IF($I283&lt;$P283,1,0)</f>
        <v>1</v>
      </c>
      <c r="V283" s="50">
        <f>IF($I283=$P283,1,0)</f>
        <v>0</v>
      </c>
      <c r="W283" s="50">
        <f>IF($I283&gt;$P283,1,0)</f>
        <v>0</v>
      </c>
    </row>
    <row r="284" spans="1:23" x14ac:dyDescent="0.6">
      <c r="A284" s="41" t="s">
        <v>277</v>
      </c>
      <c r="B284" s="50">
        <v>75</v>
      </c>
      <c r="C284" s="25" t="s">
        <v>973</v>
      </c>
      <c r="D284" s="25" t="s">
        <v>976</v>
      </c>
      <c r="E284" s="25" t="s">
        <v>980</v>
      </c>
      <c r="F284" s="50">
        <v>3</v>
      </c>
      <c r="G284" s="50">
        <f t="shared" si="25"/>
        <v>2205</v>
      </c>
      <c r="H284" s="57">
        <v>2414</v>
      </c>
      <c r="I284" s="32">
        <v>2205</v>
      </c>
      <c r="J284" s="32">
        <v>2205.4</v>
      </c>
      <c r="K284" s="32">
        <v>7.51</v>
      </c>
      <c r="L284" s="46">
        <f t="shared" si="26"/>
        <v>9.4784580498866227</v>
      </c>
      <c r="M284" s="46">
        <f t="shared" si="27"/>
        <v>0</v>
      </c>
      <c r="N284" s="46">
        <f t="shared" si="28"/>
        <v>1.8140589569165123E-2</v>
      </c>
      <c r="O284" s="41" t="s">
        <v>1</v>
      </c>
      <c r="P284" s="50">
        <v>2218</v>
      </c>
      <c r="Q284" s="30">
        <v>2221.8000000000002</v>
      </c>
      <c r="R284" s="33">
        <v>24.470198539999998</v>
      </c>
      <c r="S284" s="46">
        <f t="shared" si="29"/>
        <v>0.58956916099773249</v>
      </c>
      <c r="T284" s="46">
        <f t="shared" si="30"/>
        <v>0.76190476190477019</v>
      </c>
      <c r="U284" s="50">
        <f>IF($I284&lt;$P284,1,0)</f>
        <v>1</v>
      </c>
      <c r="V284" s="50">
        <f>IF($I284=$P284,1,0)</f>
        <v>0</v>
      </c>
      <c r="W284" s="50">
        <f>IF($I284&gt;$P284,1,0)</f>
        <v>0</v>
      </c>
    </row>
    <row r="285" spans="1:23" x14ac:dyDescent="0.6">
      <c r="A285" s="41" t="s">
        <v>278</v>
      </c>
      <c r="B285" s="50">
        <v>75</v>
      </c>
      <c r="C285" s="25" t="s">
        <v>973</v>
      </c>
      <c r="D285" s="25" t="s">
        <v>976</v>
      </c>
      <c r="E285" s="25" t="s">
        <v>980</v>
      </c>
      <c r="F285" s="50">
        <v>4</v>
      </c>
      <c r="G285" s="50">
        <f t="shared" si="25"/>
        <v>2206</v>
      </c>
      <c r="H285" s="57">
        <v>2355</v>
      </c>
      <c r="I285" s="32">
        <v>2206</v>
      </c>
      <c r="J285" s="32">
        <v>2206.8000000000002</v>
      </c>
      <c r="K285" s="32">
        <v>7.51</v>
      </c>
      <c r="L285" s="46">
        <f t="shared" si="26"/>
        <v>6.7543064369900279</v>
      </c>
      <c r="M285" s="46">
        <f t="shared" si="27"/>
        <v>0</v>
      </c>
      <c r="N285" s="46">
        <f t="shared" si="28"/>
        <v>3.6264732547605712E-2</v>
      </c>
      <c r="O285" s="41" t="s">
        <v>1</v>
      </c>
      <c r="P285" s="50">
        <v>2221</v>
      </c>
      <c r="Q285" s="30">
        <v>2223.6</v>
      </c>
      <c r="R285" s="33">
        <v>23.91065296</v>
      </c>
      <c r="S285" s="46">
        <f t="shared" si="29"/>
        <v>0.67996373526745235</v>
      </c>
      <c r="T285" s="46">
        <f t="shared" si="30"/>
        <v>0.7978241160471401</v>
      </c>
      <c r="U285" s="50">
        <f>IF($I285&lt;$P285,1,0)</f>
        <v>1</v>
      </c>
      <c r="V285" s="50">
        <f>IF($I285=$P285,1,0)</f>
        <v>0</v>
      </c>
      <c r="W285" s="50">
        <f>IF($I285&gt;$P285,1,0)</f>
        <v>0</v>
      </c>
    </row>
    <row r="286" spans="1:23" x14ac:dyDescent="0.6">
      <c r="A286" s="41" t="s">
        <v>279</v>
      </c>
      <c r="B286" s="50">
        <v>75</v>
      </c>
      <c r="C286" s="25" t="s">
        <v>973</v>
      </c>
      <c r="D286" s="25" t="s">
        <v>976</v>
      </c>
      <c r="E286" s="25" t="s">
        <v>980</v>
      </c>
      <c r="F286" s="50">
        <v>5</v>
      </c>
      <c r="G286" s="50">
        <f t="shared" si="25"/>
        <v>2190</v>
      </c>
      <c r="H286" s="57">
        <v>2544</v>
      </c>
      <c r="I286" s="32">
        <v>2190</v>
      </c>
      <c r="J286" s="32">
        <v>2190.4</v>
      </c>
      <c r="K286" s="32">
        <v>7.51</v>
      </c>
      <c r="L286" s="46">
        <f t="shared" si="26"/>
        <v>16.164383561643834</v>
      </c>
      <c r="M286" s="46">
        <f t="shared" si="27"/>
        <v>0</v>
      </c>
      <c r="N286" s="46">
        <f t="shared" si="28"/>
        <v>1.8264840182652554E-2</v>
      </c>
      <c r="O286" s="41" t="s">
        <v>1</v>
      </c>
      <c r="P286" s="50">
        <v>2204</v>
      </c>
      <c r="Q286" s="30">
        <v>2209</v>
      </c>
      <c r="R286" s="33">
        <v>24.56417472</v>
      </c>
      <c r="S286" s="46">
        <f t="shared" si="29"/>
        <v>0.63926940639269414</v>
      </c>
      <c r="T286" s="46">
        <f t="shared" si="30"/>
        <v>0.86757990867579915</v>
      </c>
      <c r="U286" s="50">
        <f>IF($I286&lt;$P286,1,0)</f>
        <v>1</v>
      </c>
      <c r="V286" s="50">
        <f>IF($I286=$P286,1,0)</f>
        <v>0</v>
      </c>
      <c r="W286" s="50">
        <f>IF($I286&gt;$P286,1,0)</f>
        <v>0</v>
      </c>
    </row>
    <row r="287" spans="1:23" x14ac:dyDescent="0.6">
      <c r="A287" s="41" t="s">
        <v>280</v>
      </c>
      <c r="B287" s="50">
        <v>75</v>
      </c>
      <c r="C287" s="25" t="s">
        <v>973</v>
      </c>
      <c r="D287" s="25" t="s">
        <v>976</v>
      </c>
      <c r="E287" s="25" t="s">
        <v>980</v>
      </c>
      <c r="F287" s="50">
        <v>6</v>
      </c>
      <c r="G287" s="50">
        <f t="shared" si="25"/>
        <v>2206</v>
      </c>
      <c r="H287" s="57">
        <v>2483</v>
      </c>
      <c r="I287" s="32">
        <v>2206</v>
      </c>
      <c r="J287" s="32">
        <v>2206.6</v>
      </c>
      <c r="K287" s="32">
        <v>7.51</v>
      </c>
      <c r="L287" s="46">
        <f t="shared" si="26"/>
        <v>12.556663644605621</v>
      </c>
      <c r="M287" s="46">
        <f t="shared" si="27"/>
        <v>0</v>
      </c>
      <c r="N287" s="46">
        <f t="shared" si="28"/>
        <v>2.7198549410693974E-2</v>
      </c>
      <c r="O287" s="41" t="s">
        <v>1</v>
      </c>
      <c r="P287" s="50">
        <v>2218</v>
      </c>
      <c r="Q287" s="30">
        <v>2222.8000000000002</v>
      </c>
      <c r="R287" s="33">
        <v>24.314518159999999</v>
      </c>
      <c r="S287" s="46">
        <f t="shared" si="29"/>
        <v>0.54397098821396195</v>
      </c>
      <c r="T287" s="46">
        <f t="shared" si="30"/>
        <v>0.76155938349955499</v>
      </c>
      <c r="U287" s="50">
        <f>IF($I287&lt;$P287,1,0)</f>
        <v>1</v>
      </c>
      <c r="V287" s="50">
        <f>IF($I287=$P287,1,0)</f>
        <v>0</v>
      </c>
      <c r="W287" s="50">
        <f>IF($I287&gt;$P287,1,0)</f>
        <v>0</v>
      </c>
    </row>
    <row r="288" spans="1:23" x14ac:dyDescent="0.6">
      <c r="A288" s="41" t="s">
        <v>281</v>
      </c>
      <c r="B288" s="50">
        <v>75</v>
      </c>
      <c r="C288" s="25" t="s">
        <v>973</v>
      </c>
      <c r="D288" s="25" t="s">
        <v>976</v>
      </c>
      <c r="E288" s="25" t="s">
        <v>980</v>
      </c>
      <c r="F288" s="50">
        <v>7</v>
      </c>
      <c r="G288" s="50">
        <f t="shared" si="25"/>
        <v>2208</v>
      </c>
      <c r="H288" s="57">
        <v>2491</v>
      </c>
      <c r="I288" s="32">
        <v>2208</v>
      </c>
      <c r="J288" s="32">
        <v>2209.1999999999998</v>
      </c>
      <c r="K288" s="32">
        <v>7.51</v>
      </c>
      <c r="L288" s="46">
        <f t="shared" si="26"/>
        <v>12.817028985507244</v>
      </c>
      <c r="M288" s="46">
        <f t="shared" si="27"/>
        <v>0</v>
      </c>
      <c r="N288" s="46">
        <f t="shared" si="28"/>
        <v>5.4347826086948284E-2</v>
      </c>
      <c r="O288" s="41" t="s">
        <v>1</v>
      </c>
      <c r="P288" s="50">
        <v>2220</v>
      </c>
      <c r="Q288" s="30">
        <v>2223.4</v>
      </c>
      <c r="R288" s="33">
        <v>25.331454959999999</v>
      </c>
      <c r="S288" s="46">
        <f t="shared" si="29"/>
        <v>0.54347826086956519</v>
      </c>
      <c r="T288" s="46">
        <f t="shared" si="30"/>
        <v>0.69746376811594624</v>
      </c>
      <c r="U288" s="50">
        <f>IF($I288&lt;$P288,1,0)</f>
        <v>1</v>
      </c>
      <c r="V288" s="50">
        <f>IF($I288=$P288,1,0)</f>
        <v>0</v>
      </c>
      <c r="W288" s="50">
        <f>IF($I288&gt;$P288,1,0)</f>
        <v>0</v>
      </c>
    </row>
    <row r="289" spans="1:23" x14ac:dyDescent="0.6">
      <c r="A289" s="41" t="s">
        <v>282</v>
      </c>
      <c r="B289" s="50">
        <v>75</v>
      </c>
      <c r="C289" s="25" t="s">
        <v>973</v>
      </c>
      <c r="D289" s="25" t="s">
        <v>976</v>
      </c>
      <c r="E289" s="25" t="s">
        <v>980</v>
      </c>
      <c r="F289" s="50">
        <v>8</v>
      </c>
      <c r="G289" s="50">
        <f t="shared" si="25"/>
        <v>2216</v>
      </c>
      <c r="H289" s="57">
        <v>2441</v>
      </c>
      <c r="I289" s="32">
        <v>2216</v>
      </c>
      <c r="J289" s="32">
        <v>2216.4</v>
      </c>
      <c r="K289" s="32">
        <v>7.51</v>
      </c>
      <c r="L289" s="46">
        <f t="shared" si="26"/>
        <v>10.153429602888087</v>
      </c>
      <c r="M289" s="46">
        <f t="shared" si="27"/>
        <v>0</v>
      </c>
      <c r="N289" s="46">
        <f t="shared" si="28"/>
        <v>1.8050541516249591E-2</v>
      </c>
      <c r="O289" s="41" t="s">
        <v>1</v>
      </c>
      <c r="P289" s="50">
        <v>2230</v>
      </c>
      <c r="Q289" s="30">
        <v>2233</v>
      </c>
      <c r="R289" s="33">
        <v>24.002632819999999</v>
      </c>
      <c r="S289" s="46">
        <f t="shared" si="29"/>
        <v>0.63176895306859204</v>
      </c>
      <c r="T289" s="46">
        <f t="shared" si="30"/>
        <v>0.76714801444043323</v>
      </c>
      <c r="U289" s="50">
        <f>IF($I289&lt;$P289,1,0)</f>
        <v>1</v>
      </c>
      <c r="V289" s="50">
        <f>IF($I289=$P289,1,0)</f>
        <v>0</v>
      </c>
      <c r="W289" s="50">
        <f>IF($I289&gt;$P289,1,0)</f>
        <v>0</v>
      </c>
    </row>
    <row r="290" spans="1:23" x14ac:dyDescent="0.6">
      <c r="A290" s="41" t="s">
        <v>283</v>
      </c>
      <c r="B290" s="50">
        <v>75</v>
      </c>
      <c r="C290" s="25" t="s">
        <v>973</v>
      </c>
      <c r="D290" s="25" t="s">
        <v>976</v>
      </c>
      <c r="E290" s="25" t="s">
        <v>980</v>
      </c>
      <c r="F290" s="50">
        <v>9</v>
      </c>
      <c r="G290" s="50">
        <f t="shared" si="25"/>
        <v>2202</v>
      </c>
      <c r="H290" s="57">
        <v>2450</v>
      </c>
      <c r="I290" s="32">
        <v>2202</v>
      </c>
      <c r="J290" s="32">
        <v>2203</v>
      </c>
      <c r="K290" s="32">
        <v>7.51</v>
      </c>
      <c r="L290" s="46">
        <f t="shared" si="26"/>
        <v>11.262488646684831</v>
      </c>
      <c r="M290" s="46">
        <f t="shared" si="27"/>
        <v>0</v>
      </c>
      <c r="N290" s="46">
        <f t="shared" si="28"/>
        <v>4.5413260672116255E-2</v>
      </c>
      <c r="O290" s="41" t="s">
        <v>1</v>
      </c>
      <c r="P290" s="50">
        <v>2215</v>
      </c>
      <c r="Q290" s="30">
        <v>2219</v>
      </c>
      <c r="R290" s="33">
        <v>24.78833874</v>
      </c>
      <c r="S290" s="46">
        <f t="shared" si="29"/>
        <v>0.5903723887375113</v>
      </c>
      <c r="T290" s="46">
        <f t="shared" si="30"/>
        <v>0.77202543142597646</v>
      </c>
      <c r="U290" s="50">
        <f>IF($I290&lt;$P290,1,0)</f>
        <v>1</v>
      </c>
      <c r="V290" s="50">
        <f>IF($I290=$P290,1,0)</f>
        <v>0</v>
      </c>
      <c r="W290" s="50">
        <f>IF($I290&gt;$P290,1,0)</f>
        <v>0</v>
      </c>
    </row>
    <row r="291" spans="1:23" x14ac:dyDescent="0.6">
      <c r="A291" s="41" t="s">
        <v>284</v>
      </c>
      <c r="B291" s="50">
        <v>75</v>
      </c>
      <c r="C291" s="25" t="s">
        <v>973</v>
      </c>
      <c r="D291" s="25" t="s">
        <v>976</v>
      </c>
      <c r="E291" s="25" t="s">
        <v>980</v>
      </c>
      <c r="F291" s="50">
        <v>10</v>
      </c>
      <c r="G291" s="50">
        <f t="shared" si="25"/>
        <v>2182</v>
      </c>
      <c r="H291" s="57">
        <v>2445</v>
      </c>
      <c r="I291" s="32">
        <v>2182</v>
      </c>
      <c r="J291" s="32">
        <v>2182.8000000000002</v>
      </c>
      <c r="K291" s="32">
        <v>7.51</v>
      </c>
      <c r="L291" s="46">
        <f t="shared" si="26"/>
        <v>12.053162236480294</v>
      </c>
      <c r="M291" s="46">
        <f t="shared" si="27"/>
        <v>0</v>
      </c>
      <c r="N291" s="46">
        <f t="shared" si="28"/>
        <v>3.6663611365727863E-2</v>
      </c>
      <c r="O291" s="41" t="s">
        <v>1</v>
      </c>
      <c r="P291" s="50">
        <v>2196</v>
      </c>
      <c r="Q291" s="30">
        <v>2201</v>
      </c>
      <c r="R291" s="33">
        <v>24.379158579999999</v>
      </c>
      <c r="S291" s="46">
        <f t="shared" si="29"/>
        <v>0.64161319890009172</v>
      </c>
      <c r="T291" s="46">
        <f t="shared" si="30"/>
        <v>0.87076076993583862</v>
      </c>
      <c r="U291" s="50">
        <f>IF($I291&lt;$P291,1,0)</f>
        <v>1</v>
      </c>
      <c r="V291" s="50">
        <f>IF($I291=$P291,1,0)</f>
        <v>0</v>
      </c>
      <c r="W291" s="50">
        <f>IF($I291&gt;$P291,1,0)</f>
        <v>0</v>
      </c>
    </row>
    <row r="292" spans="1:23" x14ac:dyDescent="0.6">
      <c r="A292" s="41" t="s">
        <v>285</v>
      </c>
      <c r="B292" s="50">
        <v>75</v>
      </c>
      <c r="C292" s="25" t="s">
        <v>973</v>
      </c>
      <c r="D292" s="25" t="s">
        <v>976</v>
      </c>
      <c r="E292" s="25" t="s">
        <v>984</v>
      </c>
      <c r="F292" s="50">
        <v>1</v>
      </c>
      <c r="G292" s="50">
        <f t="shared" si="25"/>
        <v>2200</v>
      </c>
      <c r="H292" s="57">
        <v>2604</v>
      </c>
      <c r="I292" s="32">
        <v>2200</v>
      </c>
      <c r="J292" s="32">
        <v>2201.4</v>
      </c>
      <c r="K292" s="32">
        <v>7.5</v>
      </c>
      <c r="L292" s="46">
        <f t="shared" si="26"/>
        <v>18.363636363636363</v>
      </c>
      <c r="M292" s="46">
        <f t="shared" si="27"/>
        <v>0</v>
      </c>
      <c r="N292" s="46">
        <f t="shared" si="28"/>
        <v>6.3636363636367765E-2</v>
      </c>
      <c r="O292" s="41" t="s">
        <v>1</v>
      </c>
      <c r="P292" s="50">
        <v>2209</v>
      </c>
      <c r="Q292" s="30">
        <v>2216.4</v>
      </c>
      <c r="R292" s="33">
        <v>24.784783780000001</v>
      </c>
      <c r="S292" s="46">
        <f t="shared" si="29"/>
        <v>0.40909090909090912</v>
      </c>
      <c r="T292" s="46">
        <f t="shared" si="30"/>
        <v>0.74545454545454959</v>
      </c>
      <c r="U292" s="50">
        <f>IF($I292&lt;$P292,1,0)</f>
        <v>1</v>
      </c>
      <c r="V292" s="50">
        <f>IF($I292=$P292,1,0)</f>
        <v>0</v>
      </c>
      <c r="W292" s="50">
        <f>IF($I292&gt;$P292,1,0)</f>
        <v>0</v>
      </c>
    </row>
    <row r="293" spans="1:23" x14ac:dyDescent="0.6">
      <c r="A293" s="41" t="s">
        <v>286</v>
      </c>
      <c r="B293" s="50">
        <v>75</v>
      </c>
      <c r="C293" s="25" t="s">
        <v>973</v>
      </c>
      <c r="D293" s="25" t="s">
        <v>976</v>
      </c>
      <c r="E293" s="25" t="s">
        <v>984</v>
      </c>
      <c r="F293" s="50">
        <v>2</v>
      </c>
      <c r="G293" s="50">
        <f t="shared" si="25"/>
        <v>2189</v>
      </c>
      <c r="H293" s="57">
        <v>2586</v>
      </c>
      <c r="I293" s="32">
        <v>2189</v>
      </c>
      <c r="J293" s="32">
        <v>2189.8000000000002</v>
      </c>
      <c r="K293" s="32">
        <v>7.51</v>
      </c>
      <c r="L293" s="46">
        <f t="shared" si="26"/>
        <v>18.136135221562359</v>
      </c>
      <c r="M293" s="46">
        <f t="shared" si="27"/>
        <v>0</v>
      </c>
      <c r="N293" s="46">
        <f t="shared" si="28"/>
        <v>3.6546368204667973E-2</v>
      </c>
      <c r="O293" s="41" t="s">
        <v>1</v>
      </c>
      <c r="P293" s="50">
        <v>2200</v>
      </c>
      <c r="Q293" s="30">
        <v>2202.8000000000002</v>
      </c>
      <c r="R293" s="33">
        <v>25.549971939999999</v>
      </c>
      <c r="S293" s="46">
        <f t="shared" si="29"/>
        <v>0.50251256281407031</v>
      </c>
      <c r="T293" s="46">
        <f t="shared" si="30"/>
        <v>0.63042485153038741</v>
      </c>
      <c r="U293" s="50">
        <f>IF($I293&lt;$P293,1,0)</f>
        <v>1</v>
      </c>
      <c r="V293" s="50">
        <f>IF($I293=$P293,1,0)</f>
        <v>0</v>
      </c>
      <c r="W293" s="50">
        <f>IF($I293&gt;$P293,1,0)</f>
        <v>0</v>
      </c>
    </row>
    <row r="294" spans="1:23" x14ac:dyDescent="0.6">
      <c r="A294" s="41" t="s">
        <v>287</v>
      </c>
      <c r="B294" s="50">
        <v>75</v>
      </c>
      <c r="C294" s="25" t="s">
        <v>973</v>
      </c>
      <c r="D294" s="25" t="s">
        <v>976</v>
      </c>
      <c r="E294" s="25" t="s">
        <v>982</v>
      </c>
      <c r="F294" s="50">
        <v>3</v>
      </c>
      <c r="G294" s="50">
        <f t="shared" si="25"/>
        <v>2204</v>
      </c>
      <c r="H294" s="57">
        <v>2554</v>
      </c>
      <c r="I294" s="32">
        <v>2204</v>
      </c>
      <c r="J294" s="32">
        <v>2204.6</v>
      </c>
      <c r="K294" s="32">
        <v>7.51</v>
      </c>
      <c r="L294" s="46">
        <f t="shared" si="26"/>
        <v>15.88021778584392</v>
      </c>
      <c r="M294" s="46">
        <f t="shared" si="27"/>
        <v>0</v>
      </c>
      <c r="N294" s="46">
        <f t="shared" si="28"/>
        <v>2.722323049001402E-2</v>
      </c>
      <c r="O294" s="41" t="s">
        <v>1</v>
      </c>
      <c r="P294" s="50">
        <v>2218</v>
      </c>
      <c r="Q294" s="30">
        <v>2219.1999999999998</v>
      </c>
      <c r="R294" s="33">
        <v>24.381478019999999</v>
      </c>
      <c r="S294" s="46">
        <f t="shared" si="29"/>
        <v>0.63520871143375679</v>
      </c>
      <c r="T294" s="46">
        <f t="shared" si="30"/>
        <v>0.68965517241378482</v>
      </c>
      <c r="U294" s="50">
        <f>IF($I294&lt;$P294,1,0)</f>
        <v>1</v>
      </c>
      <c r="V294" s="50">
        <f>IF($I294=$P294,1,0)</f>
        <v>0</v>
      </c>
      <c r="W294" s="50">
        <f>IF($I294&gt;$P294,1,0)</f>
        <v>0</v>
      </c>
    </row>
    <row r="295" spans="1:23" x14ac:dyDescent="0.6">
      <c r="A295" s="41" t="s">
        <v>288</v>
      </c>
      <c r="B295" s="50">
        <v>75</v>
      </c>
      <c r="C295" s="25" t="s">
        <v>973</v>
      </c>
      <c r="D295" s="25" t="s">
        <v>976</v>
      </c>
      <c r="E295" s="25" t="s">
        <v>982</v>
      </c>
      <c r="F295" s="50">
        <v>4</v>
      </c>
      <c r="G295" s="50">
        <f t="shared" si="25"/>
        <v>2206</v>
      </c>
      <c r="H295" s="57">
        <v>2482</v>
      </c>
      <c r="I295" s="32">
        <v>2206</v>
      </c>
      <c r="J295" s="32">
        <v>2207</v>
      </c>
      <c r="K295" s="32">
        <v>7.51</v>
      </c>
      <c r="L295" s="46">
        <f t="shared" si="26"/>
        <v>12.511332728921124</v>
      </c>
      <c r="M295" s="46">
        <f t="shared" si="27"/>
        <v>0</v>
      </c>
      <c r="N295" s="46">
        <f t="shared" si="28"/>
        <v>4.5330915684496827E-2</v>
      </c>
      <c r="O295" s="41" t="s">
        <v>1</v>
      </c>
      <c r="P295" s="50">
        <v>2217</v>
      </c>
      <c r="Q295" s="30">
        <v>2221.6</v>
      </c>
      <c r="R295" s="33">
        <v>24.58718416</v>
      </c>
      <c r="S295" s="46">
        <f t="shared" si="29"/>
        <v>0.49864007252946507</v>
      </c>
      <c r="T295" s="46">
        <f t="shared" si="30"/>
        <v>0.70716228467814646</v>
      </c>
      <c r="U295" s="50">
        <f>IF($I295&lt;$P295,1,0)</f>
        <v>1</v>
      </c>
      <c r="V295" s="50">
        <f>IF($I295=$P295,1,0)</f>
        <v>0</v>
      </c>
      <c r="W295" s="50">
        <f>IF($I295&gt;$P295,1,0)</f>
        <v>0</v>
      </c>
    </row>
    <row r="296" spans="1:23" x14ac:dyDescent="0.6">
      <c r="A296" s="41" t="s">
        <v>289</v>
      </c>
      <c r="B296" s="50">
        <v>75</v>
      </c>
      <c r="C296" s="25" t="s">
        <v>973</v>
      </c>
      <c r="D296" s="25" t="s">
        <v>976</v>
      </c>
      <c r="E296" s="25" t="s">
        <v>982</v>
      </c>
      <c r="F296" s="50">
        <v>5</v>
      </c>
      <c r="G296" s="50">
        <f t="shared" si="25"/>
        <v>2190</v>
      </c>
      <c r="H296" s="57">
        <v>2804</v>
      </c>
      <c r="I296" s="32">
        <v>2190</v>
      </c>
      <c r="J296" s="32">
        <v>2190.6</v>
      </c>
      <c r="K296" s="32">
        <v>7.5</v>
      </c>
      <c r="L296" s="46">
        <f t="shared" si="26"/>
        <v>28.036529680365298</v>
      </c>
      <c r="M296" s="46">
        <f t="shared" si="27"/>
        <v>0</v>
      </c>
      <c r="N296" s="46">
        <f t="shared" si="28"/>
        <v>2.7397260273968448E-2</v>
      </c>
      <c r="O296" s="41" t="s">
        <v>1</v>
      </c>
      <c r="P296" s="50">
        <v>2206</v>
      </c>
      <c r="Q296" s="30">
        <v>2209</v>
      </c>
      <c r="R296" s="33">
        <v>25.224200539999998</v>
      </c>
      <c r="S296" s="46">
        <f t="shared" si="29"/>
        <v>0.73059360730593603</v>
      </c>
      <c r="T296" s="46">
        <f t="shared" si="30"/>
        <v>0.86757990867579915</v>
      </c>
      <c r="U296" s="50">
        <f>IF($I296&lt;$P296,1,0)</f>
        <v>1</v>
      </c>
      <c r="V296" s="50">
        <f>IF($I296=$P296,1,0)</f>
        <v>0</v>
      </c>
      <c r="W296" s="50">
        <f>IF($I296&gt;$P296,1,0)</f>
        <v>0</v>
      </c>
    </row>
    <row r="297" spans="1:23" x14ac:dyDescent="0.6">
      <c r="A297" s="41" t="s">
        <v>290</v>
      </c>
      <c r="B297" s="50">
        <v>75</v>
      </c>
      <c r="C297" s="25" t="s">
        <v>973</v>
      </c>
      <c r="D297" s="25" t="s">
        <v>976</v>
      </c>
      <c r="E297" s="25" t="s">
        <v>982</v>
      </c>
      <c r="F297" s="50">
        <v>6</v>
      </c>
      <c r="G297" s="50">
        <f t="shared" si="25"/>
        <v>2206</v>
      </c>
      <c r="H297" s="57">
        <v>2665</v>
      </c>
      <c r="I297" s="32">
        <v>2206</v>
      </c>
      <c r="J297" s="32">
        <v>2206.8000000000002</v>
      </c>
      <c r="K297" s="32">
        <v>7.5</v>
      </c>
      <c r="L297" s="46">
        <f t="shared" si="26"/>
        <v>20.806890299184044</v>
      </c>
      <c r="M297" s="46">
        <f t="shared" si="27"/>
        <v>0</v>
      </c>
      <c r="N297" s="46">
        <f t="shared" si="28"/>
        <v>3.6264732547605712E-2</v>
      </c>
      <c r="O297" s="41" t="s">
        <v>1</v>
      </c>
      <c r="P297" s="50">
        <v>2216</v>
      </c>
      <c r="Q297" s="30">
        <v>2222.1999999999998</v>
      </c>
      <c r="R297" s="33">
        <v>24.040670639999998</v>
      </c>
      <c r="S297" s="46">
        <f t="shared" si="29"/>
        <v>0.45330915684496825</v>
      </c>
      <c r="T297" s="46">
        <f t="shared" si="30"/>
        <v>0.73436083408884034</v>
      </c>
      <c r="U297" s="50">
        <f>IF($I297&lt;$P297,1,0)</f>
        <v>1</v>
      </c>
      <c r="V297" s="50">
        <f>IF($I297=$P297,1,0)</f>
        <v>0</v>
      </c>
      <c r="W297" s="50">
        <f>IF($I297&gt;$P297,1,0)</f>
        <v>0</v>
      </c>
    </row>
    <row r="298" spans="1:23" x14ac:dyDescent="0.6">
      <c r="A298" s="41" t="s">
        <v>291</v>
      </c>
      <c r="B298" s="50">
        <v>75</v>
      </c>
      <c r="C298" s="25" t="s">
        <v>973</v>
      </c>
      <c r="D298" s="25" t="s">
        <v>976</v>
      </c>
      <c r="E298" s="25" t="s">
        <v>982</v>
      </c>
      <c r="F298" s="50">
        <v>7</v>
      </c>
      <c r="G298" s="50">
        <f t="shared" si="25"/>
        <v>2209</v>
      </c>
      <c r="H298" s="57">
        <v>2715</v>
      </c>
      <c r="I298" s="32">
        <v>2209</v>
      </c>
      <c r="J298" s="32">
        <v>2209.4</v>
      </c>
      <c r="K298" s="32">
        <v>7.51</v>
      </c>
      <c r="L298" s="46">
        <f t="shared" si="26"/>
        <v>22.90629244001811</v>
      </c>
      <c r="M298" s="46">
        <f t="shared" si="27"/>
        <v>0</v>
      </c>
      <c r="N298" s="46">
        <f t="shared" si="28"/>
        <v>1.8107741059306969E-2</v>
      </c>
      <c r="O298" s="41" t="s">
        <v>1</v>
      </c>
      <c r="P298" s="50">
        <v>2218</v>
      </c>
      <c r="Q298" s="30">
        <v>2221.8000000000002</v>
      </c>
      <c r="R298" s="33">
        <v>24.694269540000001</v>
      </c>
      <c r="S298" s="46">
        <f t="shared" si="29"/>
        <v>0.40742417383431417</v>
      </c>
      <c r="T298" s="46">
        <f t="shared" si="30"/>
        <v>0.57944771389769945</v>
      </c>
      <c r="U298" s="50">
        <f>IF($I298&lt;$P298,1,0)</f>
        <v>1</v>
      </c>
      <c r="V298" s="50">
        <f>IF($I298=$P298,1,0)</f>
        <v>0</v>
      </c>
      <c r="W298" s="50">
        <f>IF($I298&gt;$P298,1,0)</f>
        <v>0</v>
      </c>
    </row>
    <row r="299" spans="1:23" x14ac:dyDescent="0.6">
      <c r="A299" s="41" t="s">
        <v>292</v>
      </c>
      <c r="B299" s="50">
        <v>75</v>
      </c>
      <c r="C299" s="25" t="s">
        <v>973</v>
      </c>
      <c r="D299" s="25" t="s">
        <v>976</v>
      </c>
      <c r="E299" s="25" t="s">
        <v>982</v>
      </c>
      <c r="F299" s="50">
        <v>8</v>
      </c>
      <c r="G299" s="50">
        <f t="shared" si="25"/>
        <v>2216</v>
      </c>
      <c r="H299" s="57">
        <v>2636</v>
      </c>
      <c r="I299" s="32">
        <v>2216</v>
      </c>
      <c r="J299" s="32">
        <v>2217.1999999999998</v>
      </c>
      <c r="K299" s="32">
        <v>7.5</v>
      </c>
      <c r="L299" s="46">
        <f t="shared" si="26"/>
        <v>18.953068592057761</v>
      </c>
      <c r="M299" s="46">
        <f t="shared" si="27"/>
        <v>0</v>
      </c>
      <c r="N299" s="46">
        <f t="shared" si="28"/>
        <v>5.4151624548728253E-2</v>
      </c>
      <c r="O299" s="41" t="s">
        <v>1</v>
      </c>
      <c r="P299" s="50">
        <v>2226</v>
      </c>
      <c r="Q299" s="30">
        <v>2230</v>
      </c>
      <c r="R299" s="33">
        <v>24.839606119999999</v>
      </c>
      <c r="S299" s="46">
        <f t="shared" si="29"/>
        <v>0.45126353790613716</v>
      </c>
      <c r="T299" s="46">
        <f t="shared" si="30"/>
        <v>0.63176895306859204</v>
      </c>
      <c r="U299" s="50">
        <f>IF($I299&lt;$P299,1,0)</f>
        <v>1</v>
      </c>
      <c r="V299" s="50">
        <f>IF($I299=$P299,1,0)</f>
        <v>0</v>
      </c>
      <c r="W299" s="50">
        <f>IF($I299&gt;$P299,1,0)</f>
        <v>0</v>
      </c>
    </row>
    <row r="300" spans="1:23" x14ac:dyDescent="0.6">
      <c r="A300" s="41" t="s">
        <v>293</v>
      </c>
      <c r="B300" s="50">
        <v>75</v>
      </c>
      <c r="C300" s="25" t="s">
        <v>973</v>
      </c>
      <c r="D300" s="25" t="s">
        <v>976</v>
      </c>
      <c r="E300" s="25" t="s">
        <v>982</v>
      </c>
      <c r="F300" s="50">
        <v>9</v>
      </c>
      <c r="G300" s="50">
        <f t="shared" si="25"/>
        <v>2202</v>
      </c>
      <c r="H300" s="57">
        <v>2655</v>
      </c>
      <c r="I300" s="32">
        <v>2202</v>
      </c>
      <c r="J300" s="32">
        <v>2202.8000000000002</v>
      </c>
      <c r="K300" s="32">
        <v>7.5</v>
      </c>
      <c r="L300" s="46">
        <f t="shared" si="26"/>
        <v>20.572207084468666</v>
      </c>
      <c r="M300" s="46">
        <f t="shared" si="27"/>
        <v>0</v>
      </c>
      <c r="N300" s="46">
        <f t="shared" si="28"/>
        <v>3.6330608537701266E-2</v>
      </c>
      <c r="O300" s="41" t="s">
        <v>1</v>
      </c>
      <c r="P300" s="50">
        <v>2213</v>
      </c>
      <c r="Q300" s="30">
        <v>2218.4</v>
      </c>
      <c r="R300" s="33">
        <v>25.128417540000001</v>
      </c>
      <c r="S300" s="46">
        <f t="shared" si="29"/>
        <v>0.49954586739327883</v>
      </c>
      <c r="T300" s="46">
        <f t="shared" si="30"/>
        <v>0.74477747502271074</v>
      </c>
      <c r="U300" s="50">
        <f>IF($I300&lt;$P300,1,0)</f>
        <v>1</v>
      </c>
      <c r="V300" s="50">
        <f>IF($I300=$P300,1,0)</f>
        <v>0</v>
      </c>
      <c r="W300" s="50">
        <f>IF($I300&gt;$P300,1,0)</f>
        <v>0</v>
      </c>
    </row>
    <row r="301" spans="1:23" x14ac:dyDescent="0.6">
      <c r="A301" s="41" t="s">
        <v>294</v>
      </c>
      <c r="B301" s="50">
        <v>75</v>
      </c>
      <c r="C301" s="25" t="s">
        <v>973</v>
      </c>
      <c r="D301" s="25" t="s">
        <v>976</v>
      </c>
      <c r="E301" s="25" t="s">
        <v>982</v>
      </c>
      <c r="F301" s="50">
        <v>10</v>
      </c>
      <c r="G301" s="50">
        <f t="shared" si="25"/>
        <v>2182</v>
      </c>
      <c r="H301" s="57">
        <v>2664</v>
      </c>
      <c r="I301" s="32">
        <v>2182</v>
      </c>
      <c r="J301" s="32">
        <v>2183.1999999999998</v>
      </c>
      <c r="K301" s="32">
        <v>7.51</v>
      </c>
      <c r="L301" s="46">
        <f t="shared" si="26"/>
        <v>22.089825847846011</v>
      </c>
      <c r="M301" s="46">
        <f t="shared" si="27"/>
        <v>0</v>
      </c>
      <c r="N301" s="46">
        <f t="shared" si="28"/>
        <v>5.4995417048570951E-2</v>
      </c>
      <c r="O301" s="41" t="s">
        <v>1</v>
      </c>
      <c r="P301" s="50">
        <v>2198</v>
      </c>
      <c r="Q301" s="30">
        <v>2201.4</v>
      </c>
      <c r="R301" s="33">
        <v>24.971198000000001</v>
      </c>
      <c r="S301" s="46">
        <f t="shared" si="29"/>
        <v>0.73327222731439046</v>
      </c>
      <c r="T301" s="46">
        <f t="shared" si="30"/>
        <v>0.88909257561870259</v>
      </c>
      <c r="U301" s="50">
        <f>IF($I301&lt;$P301,1,0)</f>
        <v>1</v>
      </c>
      <c r="V301" s="50">
        <f>IF($I301=$P301,1,0)</f>
        <v>0</v>
      </c>
      <c r="W301" s="50">
        <f>IF($I301&gt;$P301,1,0)</f>
        <v>0</v>
      </c>
    </row>
    <row r="302" spans="1:23" x14ac:dyDescent="0.6">
      <c r="A302" s="41" t="s">
        <v>295</v>
      </c>
      <c r="B302" s="50">
        <v>75</v>
      </c>
      <c r="C302" s="25" t="s">
        <v>973</v>
      </c>
      <c r="D302" s="25" t="s">
        <v>979</v>
      </c>
      <c r="E302" s="25" t="s">
        <v>981</v>
      </c>
      <c r="F302" s="50">
        <v>1</v>
      </c>
      <c r="G302" s="50">
        <f t="shared" si="25"/>
        <v>2571</v>
      </c>
      <c r="H302" s="57">
        <v>2774</v>
      </c>
      <c r="I302" s="32">
        <v>2571</v>
      </c>
      <c r="J302" s="32">
        <v>2571.1999999999998</v>
      </c>
      <c r="K302" s="32">
        <v>7.51</v>
      </c>
      <c r="L302" s="46">
        <f t="shared" si="26"/>
        <v>7.8957604045118632</v>
      </c>
      <c r="M302" s="46">
        <f t="shared" si="27"/>
        <v>0</v>
      </c>
      <c r="N302" s="46">
        <f t="shared" si="28"/>
        <v>7.7790742901523964E-3</v>
      </c>
      <c r="O302" s="41" t="s">
        <v>1</v>
      </c>
      <c r="P302" s="50">
        <v>2583</v>
      </c>
      <c r="Q302" s="30">
        <v>2587</v>
      </c>
      <c r="R302" s="33">
        <v>24.70330968</v>
      </c>
      <c r="S302" s="46">
        <f t="shared" si="29"/>
        <v>0.46674445740956821</v>
      </c>
      <c r="T302" s="46">
        <f t="shared" si="30"/>
        <v>0.62232594321275769</v>
      </c>
      <c r="U302" s="50">
        <f>IF($I302&lt;$P302,1,0)</f>
        <v>1</v>
      </c>
      <c r="V302" s="50">
        <f>IF($I302=$P302,1,0)</f>
        <v>0</v>
      </c>
      <c r="W302" s="50">
        <f>IF($I302&gt;$P302,1,0)</f>
        <v>0</v>
      </c>
    </row>
    <row r="303" spans="1:23" x14ac:dyDescent="0.6">
      <c r="A303" s="41" t="s">
        <v>296</v>
      </c>
      <c r="B303" s="50">
        <v>75</v>
      </c>
      <c r="C303" s="25" t="s">
        <v>973</v>
      </c>
      <c r="D303" s="25" t="s">
        <v>979</v>
      </c>
      <c r="E303" s="25" t="s">
        <v>983</v>
      </c>
      <c r="F303" s="50">
        <v>2</v>
      </c>
      <c r="G303" s="50">
        <f t="shared" si="25"/>
        <v>2559</v>
      </c>
      <c r="H303" s="57">
        <v>2737</v>
      </c>
      <c r="I303" s="32">
        <v>2559</v>
      </c>
      <c r="J303" s="32">
        <v>2559.1999999999998</v>
      </c>
      <c r="K303" s="32">
        <v>7.51</v>
      </c>
      <c r="L303" s="46">
        <f t="shared" si="26"/>
        <v>6.9558421258304026</v>
      </c>
      <c r="M303" s="46">
        <f t="shared" si="27"/>
        <v>0</v>
      </c>
      <c r="N303" s="46">
        <f t="shared" si="28"/>
        <v>7.8155529503641311E-3</v>
      </c>
      <c r="O303" s="41" t="s">
        <v>1</v>
      </c>
      <c r="P303" s="50">
        <v>2567</v>
      </c>
      <c r="Q303" s="30">
        <v>2573.6</v>
      </c>
      <c r="R303" s="33">
        <v>25.490043979999999</v>
      </c>
      <c r="S303" s="46">
        <f t="shared" si="29"/>
        <v>0.31262211801484957</v>
      </c>
      <c r="T303" s="46">
        <f t="shared" si="30"/>
        <v>0.57053536537709681</v>
      </c>
      <c r="U303" s="50">
        <f>IF($I303&lt;$P303,1,0)</f>
        <v>1</v>
      </c>
      <c r="V303" s="50">
        <f>IF($I303=$P303,1,0)</f>
        <v>0</v>
      </c>
      <c r="W303" s="50">
        <f>IF($I303&gt;$P303,1,0)</f>
        <v>0</v>
      </c>
    </row>
    <row r="304" spans="1:23" x14ac:dyDescent="0.6">
      <c r="A304" s="41" t="s">
        <v>297</v>
      </c>
      <c r="B304" s="50">
        <v>75</v>
      </c>
      <c r="C304" s="25" t="s">
        <v>973</v>
      </c>
      <c r="D304" s="25" t="s">
        <v>978</v>
      </c>
      <c r="E304" s="25" t="s">
        <v>980</v>
      </c>
      <c r="F304" s="50">
        <v>3</v>
      </c>
      <c r="G304" s="50">
        <f t="shared" si="25"/>
        <v>2574</v>
      </c>
      <c r="H304" s="57">
        <v>2749</v>
      </c>
      <c r="I304" s="32">
        <v>2574</v>
      </c>
      <c r="J304" s="32">
        <v>2575</v>
      </c>
      <c r="K304" s="32">
        <v>7.51</v>
      </c>
      <c r="L304" s="46">
        <f t="shared" si="26"/>
        <v>6.7987567987567985</v>
      </c>
      <c r="M304" s="46">
        <f t="shared" si="27"/>
        <v>0</v>
      </c>
      <c r="N304" s="46">
        <f t="shared" si="28"/>
        <v>3.8850038850038848E-2</v>
      </c>
      <c r="O304" s="41" t="s">
        <v>1</v>
      </c>
      <c r="P304" s="50">
        <v>2585</v>
      </c>
      <c r="Q304" s="30">
        <v>2587.6</v>
      </c>
      <c r="R304" s="33">
        <v>24.34545554</v>
      </c>
      <c r="S304" s="46">
        <f t="shared" si="29"/>
        <v>0.42735042735042739</v>
      </c>
      <c r="T304" s="46">
        <f t="shared" si="30"/>
        <v>0.52836052836052483</v>
      </c>
      <c r="U304" s="50">
        <f>IF($I304&lt;$P304,1,0)</f>
        <v>1</v>
      </c>
      <c r="V304" s="50">
        <f>IF($I304=$P304,1,0)</f>
        <v>0</v>
      </c>
      <c r="W304" s="50">
        <f>IF($I304&gt;$P304,1,0)</f>
        <v>0</v>
      </c>
    </row>
    <row r="305" spans="1:23" x14ac:dyDescent="0.6">
      <c r="A305" s="41" t="s">
        <v>298</v>
      </c>
      <c r="B305" s="50">
        <v>75</v>
      </c>
      <c r="C305" s="25" t="s">
        <v>973</v>
      </c>
      <c r="D305" s="25" t="s">
        <v>978</v>
      </c>
      <c r="E305" s="25" t="s">
        <v>980</v>
      </c>
      <c r="F305" s="50">
        <v>4</v>
      </c>
      <c r="G305" s="50">
        <f t="shared" si="25"/>
        <v>2576</v>
      </c>
      <c r="H305" s="57">
        <v>2700</v>
      </c>
      <c r="I305" s="32">
        <v>2576</v>
      </c>
      <c r="J305" s="32">
        <v>2576.6</v>
      </c>
      <c r="K305" s="32">
        <v>7.51</v>
      </c>
      <c r="L305" s="46">
        <f t="shared" si="26"/>
        <v>4.8136645962732922</v>
      </c>
      <c r="M305" s="46">
        <f t="shared" si="27"/>
        <v>0</v>
      </c>
      <c r="N305" s="46">
        <f t="shared" si="28"/>
        <v>2.329192546583498E-2</v>
      </c>
      <c r="O305" s="41" t="s">
        <v>1</v>
      </c>
      <c r="P305" s="50">
        <v>2589</v>
      </c>
      <c r="Q305" s="30">
        <v>2592</v>
      </c>
      <c r="R305" s="33">
        <v>24.299634340000001</v>
      </c>
      <c r="S305" s="46">
        <f t="shared" si="29"/>
        <v>0.50465838509316774</v>
      </c>
      <c r="T305" s="46">
        <f t="shared" si="30"/>
        <v>0.6211180124223602</v>
      </c>
      <c r="U305" s="50">
        <f>IF($I305&lt;$P305,1,0)</f>
        <v>1</v>
      </c>
      <c r="V305" s="50">
        <f>IF($I305=$P305,1,0)</f>
        <v>0</v>
      </c>
      <c r="W305" s="50">
        <f>IF($I305&gt;$P305,1,0)</f>
        <v>0</v>
      </c>
    </row>
    <row r="306" spans="1:23" x14ac:dyDescent="0.6">
      <c r="A306" s="41" t="s">
        <v>299</v>
      </c>
      <c r="B306" s="50">
        <v>75</v>
      </c>
      <c r="C306" s="25" t="s">
        <v>973</v>
      </c>
      <c r="D306" s="25" t="s">
        <v>978</v>
      </c>
      <c r="E306" s="25" t="s">
        <v>980</v>
      </c>
      <c r="F306" s="50">
        <v>5</v>
      </c>
      <c r="G306" s="50">
        <f t="shared" si="25"/>
        <v>2561</v>
      </c>
      <c r="H306" s="57">
        <v>2849</v>
      </c>
      <c r="I306" s="32">
        <v>2561</v>
      </c>
      <c r="J306" s="32">
        <v>2561.8000000000002</v>
      </c>
      <c r="K306" s="32">
        <v>7.51</v>
      </c>
      <c r="L306" s="46">
        <f t="shared" si="26"/>
        <v>11.24560718469348</v>
      </c>
      <c r="M306" s="46">
        <f t="shared" si="27"/>
        <v>0</v>
      </c>
      <c r="N306" s="46">
        <f t="shared" si="28"/>
        <v>3.1237797735266769E-2</v>
      </c>
      <c r="O306" s="41" t="s">
        <v>1</v>
      </c>
      <c r="P306" s="50">
        <v>2572</v>
      </c>
      <c r="Q306" s="30">
        <v>2575.8000000000002</v>
      </c>
      <c r="R306" s="33">
        <v>24.4470241</v>
      </c>
      <c r="S306" s="46">
        <f t="shared" si="29"/>
        <v>0.42951971885982038</v>
      </c>
      <c r="T306" s="46">
        <f t="shared" si="30"/>
        <v>0.57789925810231091</v>
      </c>
      <c r="U306" s="50">
        <f>IF($I306&lt;$P306,1,0)</f>
        <v>1</v>
      </c>
      <c r="V306" s="50">
        <f>IF($I306=$P306,1,0)</f>
        <v>0</v>
      </c>
      <c r="W306" s="50">
        <f>IF($I306&gt;$P306,1,0)</f>
        <v>0</v>
      </c>
    </row>
    <row r="307" spans="1:23" x14ac:dyDescent="0.6">
      <c r="A307" s="41" t="s">
        <v>300</v>
      </c>
      <c r="B307" s="50">
        <v>75</v>
      </c>
      <c r="C307" s="25" t="s">
        <v>973</v>
      </c>
      <c r="D307" s="25" t="s">
        <v>978</v>
      </c>
      <c r="E307" s="25" t="s">
        <v>980</v>
      </c>
      <c r="F307" s="50">
        <v>6</v>
      </c>
      <c r="G307" s="50">
        <f t="shared" si="25"/>
        <v>2576</v>
      </c>
      <c r="H307" s="57">
        <v>2808</v>
      </c>
      <c r="I307" s="32">
        <v>2576</v>
      </c>
      <c r="J307" s="32">
        <v>2576.6</v>
      </c>
      <c r="K307" s="32">
        <v>7.5</v>
      </c>
      <c r="L307" s="46">
        <f t="shared" si="26"/>
        <v>9.0062111801242235</v>
      </c>
      <c r="M307" s="46">
        <f t="shared" si="27"/>
        <v>0</v>
      </c>
      <c r="N307" s="46">
        <f t="shared" si="28"/>
        <v>2.329192546583498E-2</v>
      </c>
      <c r="O307" s="41" t="s">
        <v>1</v>
      </c>
      <c r="P307" s="50">
        <v>2590</v>
      </c>
      <c r="Q307" s="30">
        <v>2592.1999999999998</v>
      </c>
      <c r="R307" s="33">
        <v>24.344791659999999</v>
      </c>
      <c r="S307" s="46">
        <f t="shared" si="29"/>
        <v>0.54347826086956519</v>
      </c>
      <c r="T307" s="46">
        <f t="shared" si="30"/>
        <v>0.6288819875776327</v>
      </c>
      <c r="U307" s="50">
        <f>IF($I307&lt;$P307,1,0)</f>
        <v>1</v>
      </c>
      <c r="V307" s="50">
        <f>IF($I307=$P307,1,0)</f>
        <v>0</v>
      </c>
      <c r="W307" s="50">
        <f>IF($I307&gt;$P307,1,0)</f>
        <v>0</v>
      </c>
    </row>
    <row r="308" spans="1:23" x14ac:dyDescent="0.6">
      <c r="A308" s="41" t="s">
        <v>301</v>
      </c>
      <c r="B308" s="50">
        <v>75</v>
      </c>
      <c r="C308" s="25" t="s">
        <v>973</v>
      </c>
      <c r="D308" s="25" t="s">
        <v>978</v>
      </c>
      <c r="E308" s="25" t="s">
        <v>980</v>
      </c>
      <c r="F308" s="50">
        <v>7</v>
      </c>
      <c r="G308" s="50">
        <f t="shared" si="25"/>
        <v>2578</v>
      </c>
      <c r="H308" s="57">
        <v>2811</v>
      </c>
      <c r="I308" s="32">
        <v>2578</v>
      </c>
      <c r="J308" s="32">
        <v>2578.6</v>
      </c>
      <c r="K308" s="32">
        <v>7.51</v>
      </c>
      <c r="L308" s="46">
        <f t="shared" si="26"/>
        <v>9.0380139643134214</v>
      </c>
      <c r="M308" s="46">
        <f t="shared" si="27"/>
        <v>0</v>
      </c>
      <c r="N308" s="46">
        <f t="shared" si="28"/>
        <v>2.3273855702091117E-2</v>
      </c>
      <c r="O308" s="41" t="s">
        <v>1</v>
      </c>
      <c r="P308" s="50">
        <v>2591</v>
      </c>
      <c r="Q308" s="30">
        <v>2596.4</v>
      </c>
      <c r="R308" s="33">
        <v>24.283194160000001</v>
      </c>
      <c r="S308" s="46">
        <f t="shared" si="29"/>
        <v>0.50426687354538402</v>
      </c>
      <c r="T308" s="46">
        <f t="shared" si="30"/>
        <v>0.71373157486423933</v>
      </c>
      <c r="U308" s="50">
        <f>IF($I308&lt;$P308,1,0)</f>
        <v>1</v>
      </c>
      <c r="V308" s="50">
        <f>IF($I308=$P308,1,0)</f>
        <v>0</v>
      </c>
      <c r="W308" s="50">
        <f>IF($I308&gt;$P308,1,0)</f>
        <v>0</v>
      </c>
    </row>
    <row r="309" spans="1:23" x14ac:dyDescent="0.6">
      <c r="A309" s="41" t="s">
        <v>302</v>
      </c>
      <c r="B309" s="50">
        <v>75</v>
      </c>
      <c r="C309" s="25" t="s">
        <v>973</v>
      </c>
      <c r="D309" s="25" t="s">
        <v>978</v>
      </c>
      <c r="E309" s="25" t="s">
        <v>980</v>
      </c>
      <c r="F309" s="50">
        <v>8</v>
      </c>
      <c r="G309" s="50">
        <f t="shared" si="25"/>
        <v>2585</v>
      </c>
      <c r="H309" s="57">
        <v>2766</v>
      </c>
      <c r="I309" s="32">
        <v>2585</v>
      </c>
      <c r="J309" s="32">
        <v>2586.4</v>
      </c>
      <c r="K309" s="32">
        <v>7.51</v>
      </c>
      <c r="L309" s="46">
        <f t="shared" si="26"/>
        <v>7.0019342359767895</v>
      </c>
      <c r="M309" s="46">
        <f t="shared" si="27"/>
        <v>0</v>
      </c>
      <c r="N309" s="46">
        <f t="shared" si="28"/>
        <v>5.4158607350100231E-2</v>
      </c>
      <c r="O309" s="41" t="s">
        <v>1</v>
      </c>
      <c r="P309" s="50">
        <v>2597</v>
      </c>
      <c r="Q309" s="30">
        <v>2599.8000000000002</v>
      </c>
      <c r="R309" s="33">
        <v>25.010652700000001</v>
      </c>
      <c r="S309" s="46">
        <f t="shared" si="29"/>
        <v>0.46421663442940037</v>
      </c>
      <c r="T309" s="46">
        <f t="shared" si="30"/>
        <v>0.57253384912960081</v>
      </c>
      <c r="U309" s="50">
        <f>IF($I309&lt;$P309,1,0)</f>
        <v>1</v>
      </c>
      <c r="V309" s="50">
        <f>IF($I309=$P309,1,0)</f>
        <v>0</v>
      </c>
      <c r="W309" s="50">
        <f>IF($I309&gt;$P309,1,0)</f>
        <v>0</v>
      </c>
    </row>
    <row r="310" spans="1:23" x14ac:dyDescent="0.6">
      <c r="A310" s="41" t="s">
        <v>303</v>
      </c>
      <c r="B310" s="50">
        <v>75</v>
      </c>
      <c r="C310" s="25" t="s">
        <v>973</v>
      </c>
      <c r="D310" s="25" t="s">
        <v>978</v>
      </c>
      <c r="E310" s="25" t="s">
        <v>980</v>
      </c>
      <c r="F310" s="50">
        <v>9</v>
      </c>
      <c r="G310" s="50">
        <f t="shared" si="25"/>
        <v>2572</v>
      </c>
      <c r="H310" s="57">
        <v>2775</v>
      </c>
      <c r="I310" s="32">
        <v>2572</v>
      </c>
      <c r="J310" s="32">
        <v>2572.6</v>
      </c>
      <c r="K310" s="32">
        <v>7.5</v>
      </c>
      <c r="L310" s="46">
        <f t="shared" si="26"/>
        <v>7.8926905132192848</v>
      </c>
      <c r="M310" s="46">
        <f t="shared" si="27"/>
        <v>0</v>
      </c>
      <c r="N310" s="46">
        <f t="shared" si="28"/>
        <v>2.3328149300151986E-2</v>
      </c>
      <c r="O310" s="41" t="s">
        <v>1</v>
      </c>
      <c r="P310" s="50">
        <v>2580</v>
      </c>
      <c r="Q310" s="30">
        <v>2584</v>
      </c>
      <c r="R310" s="33">
        <v>25.046555819999998</v>
      </c>
      <c r="S310" s="46">
        <f t="shared" si="29"/>
        <v>0.31104199066874028</v>
      </c>
      <c r="T310" s="46">
        <f t="shared" si="30"/>
        <v>0.46656298600311047</v>
      </c>
      <c r="U310" s="50">
        <f>IF($I310&lt;$P310,1,0)</f>
        <v>1</v>
      </c>
      <c r="V310" s="50">
        <f>IF($I310=$P310,1,0)</f>
        <v>0</v>
      </c>
      <c r="W310" s="50">
        <f>IF($I310&gt;$P310,1,0)</f>
        <v>0</v>
      </c>
    </row>
    <row r="311" spans="1:23" x14ac:dyDescent="0.6">
      <c r="A311" s="41" t="s">
        <v>304</v>
      </c>
      <c r="B311" s="50">
        <v>75</v>
      </c>
      <c r="C311" s="25" t="s">
        <v>973</v>
      </c>
      <c r="D311" s="25" t="s">
        <v>978</v>
      </c>
      <c r="E311" s="25" t="s">
        <v>980</v>
      </c>
      <c r="F311" s="50">
        <v>10</v>
      </c>
      <c r="G311" s="50">
        <f t="shared" si="25"/>
        <v>2551</v>
      </c>
      <c r="H311" s="57">
        <v>2765</v>
      </c>
      <c r="I311" s="32">
        <v>2551</v>
      </c>
      <c r="J311" s="32">
        <v>2552.1999999999998</v>
      </c>
      <c r="K311" s="32">
        <v>7.5</v>
      </c>
      <c r="L311" s="46">
        <f t="shared" si="26"/>
        <v>8.3888671109368875</v>
      </c>
      <c r="M311" s="46">
        <f t="shared" si="27"/>
        <v>0</v>
      </c>
      <c r="N311" s="46">
        <f t="shared" si="28"/>
        <v>4.7040376323003452E-2</v>
      </c>
      <c r="O311" s="41" t="s">
        <v>1</v>
      </c>
      <c r="P311" s="50">
        <v>2562</v>
      </c>
      <c r="Q311" s="30">
        <v>2569.8000000000002</v>
      </c>
      <c r="R311" s="33">
        <v>24.85066368</v>
      </c>
      <c r="S311" s="46">
        <f t="shared" si="29"/>
        <v>0.43120344962759699</v>
      </c>
      <c r="T311" s="46">
        <f t="shared" si="30"/>
        <v>0.73696589572717297</v>
      </c>
      <c r="U311" s="50">
        <f>IF($I311&lt;$P311,1,0)</f>
        <v>1</v>
      </c>
      <c r="V311" s="50">
        <f>IF($I311=$P311,1,0)</f>
        <v>0</v>
      </c>
      <c r="W311" s="50">
        <f>IF($I311&gt;$P311,1,0)</f>
        <v>0</v>
      </c>
    </row>
    <row r="312" spans="1:23" x14ac:dyDescent="0.6">
      <c r="A312" s="41" t="s">
        <v>305</v>
      </c>
      <c r="B312" s="50">
        <v>75</v>
      </c>
      <c r="C312" s="25" t="s">
        <v>973</v>
      </c>
      <c r="D312" s="25" t="s">
        <v>978</v>
      </c>
      <c r="E312" s="25" t="s">
        <v>984</v>
      </c>
      <c r="F312" s="50">
        <v>1</v>
      </c>
      <c r="G312" s="50">
        <f t="shared" si="25"/>
        <v>2570</v>
      </c>
      <c r="H312" s="57">
        <v>2921</v>
      </c>
      <c r="I312" s="32">
        <v>2570</v>
      </c>
      <c r="J312" s="32">
        <v>2571.1999999999998</v>
      </c>
      <c r="K312" s="32">
        <v>7.51</v>
      </c>
      <c r="L312" s="46">
        <f t="shared" si="26"/>
        <v>13.657587548638132</v>
      </c>
      <c r="M312" s="46">
        <f t="shared" si="27"/>
        <v>0</v>
      </c>
      <c r="N312" s="46">
        <f t="shared" si="28"/>
        <v>4.6692607003883974E-2</v>
      </c>
      <c r="O312" s="41" t="s">
        <v>1</v>
      </c>
      <c r="P312" s="50">
        <v>2582</v>
      </c>
      <c r="Q312" s="30">
        <v>2585.4</v>
      </c>
      <c r="R312" s="33">
        <v>24.90362648</v>
      </c>
      <c r="S312" s="46">
        <f t="shared" si="29"/>
        <v>0.46692607003891051</v>
      </c>
      <c r="T312" s="46">
        <f t="shared" si="30"/>
        <v>0.59922178988327202</v>
      </c>
      <c r="U312" s="50">
        <f>IF($I312&lt;$P312,1,0)</f>
        <v>1</v>
      </c>
      <c r="V312" s="50">
        <f>IF($I312=$P312,1,0)</f>
        <v>0</v>
      </c>
      <c r="W312" s="50">
        <f>IF($I312&gt;$P312,1,0)</f>
        <v>0</v>
      </c>
    </row>
    <row r="313" spans="1:23" x14ac:dyDescent="0.6">
      <c r="A313" s="41" t="s">
        <v>306</v>
      </c>
      <c r="B313" s="50">
        <v>75</v>
      </c>
      <c r="C313" s="25" t="s">
        <v>973</v>
      </c>
      <c r="D313" s="25" t="s">
        <v>978</v>
      </c>
      <c r="E313" s="25" t="s">
        <v>984</v>
      </c>
      <c r="F313" s="50">
        <v>2</v>
      </c>
      <c r="G313" s="50">
        <f t="shared" si="25"/>
        <v>2558</v>
      </c>
      <c r="H313" s="57">
        <v>2898</v>
      </c>
      <c r="I313" s="32">
        <v>2558</v>
      </c>
      <c r="J313" s="32">
        <v>2558.4</v>
      </c>
      <c r="K313" s="32">
        <v>7.5</v>
      </c>
      <c r="L313" s="46">
        <f t="shared" si="26"/>
        <v>13.291634089132135</v>
      </c>
      <c r="M313" s="46">
        <f t="shared" si="27"/>
        <v>0</v>
      </c>
      <c r="N313" s="46">
        <f t="shared" si="28"/>
        <v>1.5637216575453125E-2</v>
      </c>
      <c r="O313" s="41" t="s">
        <v>1</v>
      </c>
      <c r="P313" s="50">
        <v>2570</v>
      </c>
      <c r="Q313" s="30">
        <v>2575.1999999999998</v>
      </c>
      <c r="R313" s="33">
        <v>24.876019079999999</v>
      </c>
      <c r="S313" s="46">
        <f t="shared" si="29"/>
        <v>0.46911649726348714</v>
      </c>
      <c r="T313" s="46">
        <f t="shared" si="30"/>
        <v>0.67240031274432432</v>
      </c>
      <c r="U313" s="50">
        <f>IF($I313&lt;$P313,1,0)</f>
        <v>1</v>
      </c>
      <c r="V313" s="50">
        <f>IF($I313=$P313,1,0)</f>
        <v>0</v>
      </c>
      <c r="W313" s="50">
        <f>IF($I313&gt;$P313,1,0)</f>
        <v>0</v>
      </c>
    </row>
    <row r="314" spans="1:23" x14ac:dyDescent="0.6">
      <c r="A314" s="41" t="s">
        <v>307</v>
      </c>
      <c r="B314" s="50">
        <v>75</v>
      </c>
      <c r="C314" s="25" t="s">
        <v>973</v>
      </c>
      <c r="D314" s="25" t="s">
        <v>978</v>
      </c>
      <c r="E314" s="25" t="s">
        <v>982</v>
      </c>
      <c r="F314" s="50">
        <v>3</v>
      </c>
      <c r="G314" s="50">
        <f t="shared" si="25"/>
        <v>2574</v>
      </c>
      <c r="H314" s="57">
        <v>2889</v>
      </c>
      <c r="I314" s="32">
        <v>2574</v>
      </c>
      <c r="J314" s="32">
        <v>2574.8000000000002</v>
      </c>
      <c r="K314" s="32">
        <v>7.5</v>
      </c>
      <c r="L314" s="46">
        <f t="shared" si="26"/>
        <v>12.237762237762238</v>
      </c>
      <c r="M314" s="46">
        <f t="shared" si="27"/>
        <v>0</v>
      </c>
      <c r="N314" s="46">
        <f t="shared" si="28"/>
        <v>3.1080031080038151E-2</v>
      </c>
      <c r="O314" s="41" t="s">
        <v>1</v>
      </c>
      <c r="P314" s="50">
        <v>2584</v>
      </c>
      <c r="Q314" s="30">
        <v>2588.8000000000002</v>
      </c>
      <c r="R314" s="33">
        <v>24.565944160000001</v>
      </c>
      <c r="S314" s="46">
        <f t="shared" si="29"/>
        <v>0.38850038850038848</v>
      </c>
      <c r="T314" s="46">
        <f t="shared" si="30"/>
        <v>0.57498057498058197</v>
      </c>
      <c r="U314" s="50">
        <f>IF($I314&lt;$P314,1,0)</f>
        <v>1</v>
      </c>
      <c r="V314" s="50">
        <f>IF($I314=$P314,1,0)</f>
        <v>0</v>
      </c>
      <c r="W314" s="50">
        <f>IF($I314&gt;$P314,1,0)</f>
        <v>0</v>
      </c>
    </row>
    <row r="315" spans="1:23" x14ac:dyDescent="0.6">
      <c r="A315" s="41" t="s">
        <v>308</v>
      </c>
      <c r="B315" s="50">
        <v>75</v>
      </c>
      <c r="C315" s="25" t="s">
        <v>973</v>
      </c>
      <c r="D315" s="25" t="s">
        <v>978</v>
      </c>
      <c r="E315" s="25" t="s">
        <v>982</v>
      </c>
      <c r="F315" s="50">
        <v>4</v>
      </c>
      <c r="G315" s="50">
        <f t="shared" si="25"/>
        <v>2576</v>
      </c>
      <c r="H315" s="57">
        <v>2807</v>
      </c>
      <c r="I315" s="32">
        <v>2576</v>
      </c>
      <c r="J315" s="32">
        <v>2576.8000000000002</v>
      </c>
      <c r="K315" s="32">
        <v>7.5</v>
      </c>
      <c r="L315" s="46">
        <f t="shared" si="26"/>
        <v>8.9673913043478262</v>
      </c>
      <c r="M315" s="46">
        <f t="shared" si="27"/>
        <v>0</v>
      </c>
      <c r="N315" s="46">
        <f t="shared" si="28"/>
        <v>3.1055900621125072E-2</v>
      </c>
      <c r="O315" s="41" t="s">
        <v>1</v>
      </c>
      <c r="P315" s="50">
        <v>2591</v>
      </c>
      <c r="Q315" s="30">
        <v>2595.1999999999998</v>
      </c>
      <c r="R315" s="33">
        <v>24.551046400000001</v>
      </c>
      <c r="S315" s="46">
        <f t="shared" si="29"/>
        <v>0.58229813664596275</v>
      </c>
      <c r="T315" s="46">
        <f t="shared" si="30"/>
        <v>0.74534161490682527</v>
      </c>
      <c r="U315" s="50">
        <f>IF($I315&lt;$P315,1,0)</f>
        <v>1</v>
      </c>
      <c r="V315" s="50">
        <f>IF($I315=$P315,1,0)</f>
        <v>0</v>
      </c>
      <c r="W315" s="50">
        <f>IF($I315&gt;$P315,1,0)</f>
        <v>0</v>
      </c>
    </row>
    <row r="316" spans="1:23" x14ac:dyDescent="0.6">
      <c r="A316" s="41" t="s">
        <v>309</v>
      </c>
      <c r="B316" s="50">
        <v>75</v>
      </c>
      <c r="C316" s="25" t="s">
        <v>973</v>
      </c>
      <c r="D316" s="25" t="s">
        <v>978</v>
      </c>
      <c r="E316" s="25" t="s">
        <v>982</v>
      </c>
      <c r="F316" s="50">
        <v>5</v>
      </c>
      <c r="G316" s="50">
        <f t="shared" si="25"/>
        <v>2560</v>
      </c>
      <c r="H316" s="57">
        <v>3109</v>
      </c>
      <c r="I316" s="32">
        <v>2560</v>
      </c>
      <c r="J316" s="32">
        <v>2561</v>
      </c>
      <c r="K316" s="32">
        <v>7.51</v>
      </c>
      <c r="L316" s="46">
        <f t="shared" si="26"/>
        <v>21.4453125</v>
      </c>
      <c r="M316" s="46">
        <f t="shared" si="27"/>
        <v>0</v>
      </c>
      <c r="N316" s="46">
        <f t="shared" si="28"/>
        <v>3.90625E-2</v>
      </c>
      <c r="O316" s="41" t="s">
        <v>1</v>
      </c>
      <c r="P316" s="50">
        <v>2573</v>
      </c>
      <c r="Q316" s="30">
        <v>2577.4</v>
      </c>
      <c r="R316" s="33">
        <v>24.922374999999999</v>
      </c>
      <c r="S316" s="46">
        <f t="shared" si="29"/>
        <v>0.5078125</v>
      </c>
      <c r="T316" s="46">
        <f t="shared" si="30"/>
        <v>0.67968750000000355</v>
      </c>
      <c r="U316" s="50">
        <f>IF($I316&lt;$P316,1,0)</f>
        <v>1</v>
      </c>
      <c r="V316" s="50">
        <f>IF($I316=$P316,1,0)</f>
        <v>0</v>
      </c>
      <c r="W316" s="50">
        <f>IF($I316&gt;$P316,1,0)</f>
        <v>0</v>
      </c>
    </row>
    <row r="317" spans="1:23" x14ac:dyDescent="0.6">
      <c r="A317" s="41" t="s">
        <v>310</v>
      </c>
      <c r="B317" s="50">
        <v>75</v>
      </c>
      <c r="C317" s="25" t="s">
        <v>973</v>
      </c>
      <c r="D317" s="25" t="s">
        <v>978</v>
      </c>
      <c r="E317" s="25" t="s">
        <v>982</v>
      </c>
      <c r="F317" s="50">
        <v>6</v>
      </c>
      <c r="G317" s="50">
        <f t="shared" si="25"/>
        <v>2576</v>
      </c>
      <c r="H317" s="57">
        <v>2988</v>
      </c>
      <c r="I317" s="32">
        <v>2576</v>
      </c>
      <c r="J317" s="32">
        <v>2577</v>
      </c>
      <c r="K317" s="32">
        <v>7.5</v>
      </c>
      <c r="L317" s="46">
        <f t="shared" si="26"/>
        <v>15.993788819875776</v>
      </c>
      <c r="M317" s="46">
        <f t="shared" si="27"/>
        <v>0</v>
      </c>
      <c r="N317" s="46">
        <f t="shared" si="28"/>
        <v>3.8819875776397512E-2</v>
      </c>
      <c r="O317" s="41" t="s">
        <v>1</v>
      </c>
      <c r="P317" s="50">
        <v>2588</v>
      </c>
      <c r="Q317" s="30">
        <v>2589.6</v>
      </c>
      <c r="R317" s="33">
        <v>24.496203059999999</v>
      </c>
      <c r="S317" s="46">
        <f t="shared" si="29"/>
        <v>0.46583850931677018</v>
      </c>
      <c r="T317" s="46">
        <f t="shared" si="30"/>
        <v>0.52795031055900266</v>
      </c>
      <c r="U317" s="50">
        <f>IF($I317&lt;$P317,1,0)</f>
        <v>1</v>
      </c>
      <c r="V317" s="50">
        <f>IF($I317=$P317,1,0)</f>
        <v>0</v>
      </c>
      <c r="W317" s="50">
        <f>IF($I317&gt;$P317,1,0)</f>
        <v>0</v>
      </c>
    </row>
    <row r="318" spans="1:23" x14ac:dyDescent="0.6">
      <c r="A318" s="41" t="s">
        <v>311</v>
      </c>
      <c r="B318" s="50">
        <v>75</v>
      </c>
      <c r="C318" s="25" t="s">
        <v>973</v>
      </c>
      <c r="D318" s="25" t="s">
        <v>978</v>
      </c>
      <c r="E318" s="25" t="s">
        <v>982</v>
      </c>
      <c r="F318" s="50">
        <v>7</v>
      </c>
      <c r="G318" s="50">
        <f t="shared" si="25"/>
        <v>2579</v>
      </c>
      <c r="H318" s="57">
        <v>3015</v>
      </c>
      <c r="I318" s="32">
        <v>2579</v>
      </c>
      <c r="J318" s="32">
        <v>2579.1999999999998</v>
      </c>
      <c r="K318" s="32">
        <v>7.51</v>
      </c>
      <c r="L318" s="46">
        <f t="shared" si="26"/>
        <v>16.905777433113613</v>
      </c>
      <c r="M318" s="46">
        <f t="shared" si="27"/>
        <v>0</v>
      </c>
      <c r="N318" s="46">
        <f t="shared" si="28"/>
        <v>7.7549437766505662E-3</v>
      </c>
      <c r="O318" s="41" t="s">
        <v>1</v>
      </c>
      <c r="P318" s="50">
        <v>2591</v>
      </c>
      <c r="Q318" s="30">
        <v>2594.1999999999998</v>
      </c>
      <c r="R318" s="33">
        <v>25.194331779999999</v>
      </c>
      <c r="S318" s="46">
        <f t="shared" si="29"/>
        <v>0.46529662659945714</v>
      </c>
      <c r="T318" s="46">
        <f t="shared" si="30"/>
        <v>0.58937572702597207</v>
      </c>
      <c r="U318" s="50">
        <f>IF($I318&lt;$P318,1,0)</f>
        <v>1</v>
      </c>
      <c r="V318" s="50">
        <f>IF($I318=$P318,1,0)</f>
        <v>0</v>
      </c>
      <c r="W318" s="50">
        <f>IF($I318&gt;$P318,1,0)</f>
        <v>0</v>
      </c>
    </row>
    <row r="319" spans="1:23" x14ac:dyDescent="0.6">
      <c r="A319" s="41" t="s">
        <v>312</v>
      </c>
      <c r="B319" s="50">
        <v>75</v>
      </c>
      <c r="C319" s="25" t="s">
        <v>973</v>
      </c>
      <c r="D319" s="25" t="s">
        <v>978</v>
      </c>
      <c r="E319" s="25" t="s">
        <v>982</v>
      </c>
      <c r="F319" s="50">
        <v>8</v>
      </c>
      <c r="G319" s="50">
        <f t="shared" si="25"/>
        <v>2586</v>
      </c>
      <c r="H319" s="57">
        <v>2951</v>
      </c>
      <c r="I319" s="32">
        <v>2586</v>
      </c>
      <c r="J319" s="32">
        <v>2586.8000000000002</v>
      </c>
      <c r="K319" s="32">
        <v>7.51</v>
      </c>
      <c r="L319" s="46">
        <f t="shared" si="26"/>
        <v>14.11446249033256</v>
      </c>
      <c r="M319" s="46">
        <f t="shared" si="27"/>
        <v>0</v>
      </c>
      <c r="N319" s="46">
        <f t="shared" si="28"/>
        <v>3.0935808197996208E-2</v>
      </c>
      <c r="O319" s="41" t="s">
        <v>1</v>
      </c>
      <c r="P319" s="50">
        <v>2593</v>
      </c>
      <c r="Q319" s="30">
        <v>2602.8000000000002</v>
      </c>
      <c r="R319" s="33">
        <v>24.342356240000001</v>
      </c>
      <c r="S319" s="46">
        <f t="shared" si="29"/>
        <v>0.27068832173240526</v>
      </c>
      <c r="T319" s="46">
        <f t="shared" si="30"/>
        <v>0.6496519721577797</v>
      </c>
      <c r="U319" s="50">
        <f>IF($I319&lt;$P319,1,0)</f>
        <v>1</v>
      </c>
      <c r="V319" s="50">
        <f>IF($I319=$P319,1,0)</f>
        <v>0</v>
      </c>
      <c r="W319" s="50">
        <f>IF($I319&gt;$P319,1,0)</f>
        <v>0</v>
      </c>
    </row>
    <row r="320" spans="1:23" x14ac:dyDescent="0.6">
      <c r="A320" s="41" t="s">
        <v>313</v>
      </c>
      <c r="B320" s="50">
        <v>75</v>
      </c>
      <c r="C320" s="25" t="s">
        <v>973</v>
      </c>
      <c r="D320" s="25" t="s">
        <v>978</v>
      </c>
      <c r="E320" s="25" t="s">
        <v>982</v>
      </c>
      <c r="F320" s="50">
        <v>9</v>
      </c>
      <c r="G320" s="50">
        <f t="shared" si="25"/>
        <v>2573</v>
      </c>
      <c r="H320" s="57">
        <v>2961</v>
      </c>
      <c r="I320" s="32">
        <v>2573</v>
      </c>
      <c r="J320" s="32">
        <v>2573.8000000000002</v>
      </c>
      <c r="K320" s="32">
        <v>7.51</v>
      </c>
      <c r="L320" s="46">
        <f t="shared" si="26"/>
        <v>15.079673532841042</v>
      </c>
      <c r="M320" s="46">
        <f t="shared" si="27"/>
        <v>0</v>
      </c>
      <c r="N320" s="46">
        <f t="shared" si="28"/>
        <v>3.109211037699891E-2</v>
      </c>
      <c r="O320" s="41" t="s">
        <v>1</v>
      </c>
      <c r="P320" s="50">
        <v>2584</v>
      </c>
      <c r="Q320" s="30">
        <v>2585.6</v>
      </c>
      <c r="R320" s="33">
        <v>24.95706096</v>
      </c>
      <c r="S320" s="46">
        <f t="shared" si="29"/>
        <v>0.4275165176836378</v>
      </c>
      <c r="T320" s="46">
        <f t="shared" si="30"/>
        <v>0.48970073843761797</v>
      </c>
      <c r="U320" s="50">
        <f>IF($I320&lt;$P320,1,0)</f>
        <v>1</v>
      </c>
      <c r="V320" s="50">
        <f>IF($I320=$P320,1,0)</f>
        <v>0</v>
      </c>
      <c r="W320" s="50">
        <f>IF($I320&gt;$P320,1,0)</f>
        <v>0</v>
      </c>
    </row>
    <row r="321" spans="1:23" x14ac:dyDescent="0.6">
      <c r="A321" s="41" t="s">
        <v>314</v>
      </c>
      <c r="B321" s="50">
        <v>75</v>
      </c>
      <c r="C321" s="25" t="s">
        <v>973</v>
      </c>
      <c r="D321" s="25" t="s">
        <v>978</v>
      </c>
      <c r="E321" s="25" t="s">
        <v>982</v>
      </c>
      <c r="F321" s="50">
        <v>10</v>
      </c>
      <c r="G321" s="50">
        <f t="shared" si="25"/>
        <v>2552</v>
      </c>
      <c r="H321" s="57">
        <v>2969</v>
      </c>
      <c r="I321" s="32">
        <v>2552</v>
      </c>
      <c r="J321" s="32">
        <v>2553.1999999999998</v>
      </c>
      <c r="K321" s="32">
        <v>7.5</v>
      </c>
      <c r="L321" s="46">
        <f t="shared" si="26"/>
        <v>16.340125391849529</v>
      </c>
      <c r="M321" s="46">
        <f t="shared" si="27"/>
        <v>0</v>
      </c>
      <c r="N321" s="46">
        <f t="shared" si="28"/>
        <v>4.7021943573660581E-2</v>
      </c>
      <c r="O321" s="41" t="s">
        <v>1</v>
      </c>
      <c r="P321" s="50">
        <v>2567</v>
      </c>
      <c r="Q321" s="30">
        <v>2571.8000000000002</v>
      </c>
      <c r="R321" s="33">
        <v>25.22797272</v>
      </c>
      <c r="S321" s="46">
        <f t="shared" si="29"/>
        <v>0.58777429467084641</v>
      </c>
      <c r="T321" s="46">
        <f t="shared" si="30"/>
        <v>0.77586206896552434</v>
      </c>
      <c r="U321" s="50">
        <f>IF($I321&lt;$P321,1,0)</f>
        <v>1</v>
      </c>
      <c r="V321" s="50">
        <f>IF($I321=$P321,1,0)</f>
        <v>0</v>
      </c>
      <c r="W321" s="50">
        <f>IF($I321&gt;$P321,1,0)</f>
        <v>0</v>
      </c>
    </row>
    <row r="322" spans="1:23" x14ac:dyDescent="0.6">
      <c r="A322" s="41" t="s">
        <v>315</v>
      </c>
      <c r="B322" s="50">
        <v>100</v>
      </c>
      <c r="C322" s="51" t="s">
        <v>971</v>
      </c>
      <c r="D322" s="25" t="s">
        <v>977</v>
      </c>
      <c r="E322" s="25" t="s">
        <v>981</v>
      </c>
      <c r="F322" s="50">
        <v>1</v>
      </c>
      <c r="G322" s="50">
        <f t="shared" si="25"/>
        <v>1931</v>
      </c>
      <c r="H322" s="57">
        <v>2183</v>
      </c>
      <c r="I322" s="32">
        <v>1931</v>
      </c>
      <c r="J322" s="32">
        <v>1932.6</v>
      </c>
      <c r="K322" s="32">
        <v>10</v>
      </c>
      <c r="L322" s="46">
        <f t="shared" si="26"/>
        <v>13.05023303987571</v>
      </c>
      <c r="M322" s="46">
        <f t="shared" si="27"/>
        <v>0</v>
      </c>
      <c r="N322" s="46">
        <f t="shared" si="28"/>
        <v>8.2858622475396632E-2</v>
      </c>
      <c r="O322" s="41" t="s">
        <v>1</v>
      </c>
      <c r="P322" s="50">
        <v>1946</v>
      </c>
      <c r="Q322" s="30">
        <v>1950.4</v>
      </c>
      <c r="R322" s="33">
        <v>41.3664311</v>
      </c>
      <c r="S322" s="46">
        <f t="shared" si="29"/>
        <v>0.77679958570688767</v>
      </c>
      <c r="T322" s="46">
        <f t="shared" si="30"/>
        <v>1.0046607975142461</v>
      </c>
      <c r="U322" s="50">
        <f>IF($I322&lt;$P322,1,0)</f>
        <v>1</v>
      </c>
      <c r="V322" s="50">
        <f>IF($I322=$P322,1,0)</f>
        <v>0</v>
      </c>
      <c r="W322" s="50">
        <f>IF($I322&gt;$P322,1,0)</f>
        <v>0</v>
      </c>
    </row>
    <row r="323" spans="1:23" x14ac:dyDescent="0.6">
      <c r="A323" s="41" t="s">
        <v>316</v>
      </c>
      <c r="B323" s="50">
        <v>100</v>
      </c>
      <c r="C323" s="51" t="s">
        <v>971</v>
      </c>
      <c r="D323" s="25" t="s">
        <v>977</v>
      </c>
      <c r="E323" s="25" t="s">
        <v>983</v>
      </c>
      <c r="F323" s="50">
        <v>2</v>
      </c>
      <c r="G323" s="50">
        <f t="shared" ref="G323:G386" si="31">MIN(I323,P323)</f>
        <v>1930</v>
      </c>
      <c r="H323" s="57">
        <v>2221</v>
      </c>
      <c r="I323" s="32">
        <v>1930</v>
      </c>
      <c r="J323" s="32">
        <v>1931</v>
      </c>
      <c r="K323" s="32">
        <v>10.01</v>
      </c>
      <c r="L323" s="46">
        <f t="shared" ref="L323:L386" si="32">(H323-$G323)/$G323*100</f>
        <v>15.077720207253886</v>
      </c>
      <c r="M323" s="46">
        <f t="shared" ref="M323:M386" si="33">(I323-$G323)/$G323*100</f>
        <v>0</v>
      </c>
      <c r="N323" s="46">
        <f t="shared" ref="N323:N386" si="34">(J323-$G323)/$G323*100</f>
        <v>5.181347150259067E-2</v>
      </c>
      <c r="O323" s="41" t="s">
        <v>1</v>
      </c>
      <c r="P323" s="50">
        <v>1942</v>
      </c>
      <c r="Q323" s="30">
        <v>1945.2</v>
      </c>
      <c r="R323" s="33">
        <v>41.333082560000001</v>
      </c>
      <c r="S323" s="46">
        <f t="shared" ref="S323:S386" si="35">(P323-$G323)/$G323*100</f>
        <v>0.62176165803108807</v>
      </c>
      <c r="T323" s="46">
        <f t="shared" ref="T323:T386" si="36">(Q323-$G323)/$G323*100</f>
        <v>0.78756476683938048</v>
      </c>
      <c r="U323" s="50">
        <f>IF($I323&lt;$P323,1,0)</f>
        <v>1</v>
      </c>
      <c r="V323" s="50">
        <f>IF($I323=$P323,1,0)</f>
        <v>0</v>
      </c>
      <c r="W323" s="50">
        <f>IF($I323&gt;$P323,1,0)</f>
        <v>0</v>
      </c>
    </row>
    <row r="324" spans="1:23" x14ac:dyDescent="0.6">
      <c r="A324" s="41" t="s">
        <v>317</v>
      </c>
      <c r="B324" s="50">
        <v>100</v>
      </c>
      <c r="C324" s="51" t="s">
        <v>970</v>
      </c>
      <c r="D324" s="25" t="s">
        <v>976</v>
      </c>
      <c r="E324" s="25" t="s">
        <v>980</v>
      </c>
      <c r="F324" s="50">
        <v>3</v>
      </c>
      <c r="G324" s="50">
        <f t="shared" si="31"/>
        <v>1953</v>
      </c>
      <c r="H324" s="57">
        <v>2240</v>
      </c>
      <c r="I324" s="32">
        <v>1953</v>
      </c>
      <c r="J324" s="32">
        <v>1954.2</v>
      </c>
      <c r="K324" s="32">
        <v>10.01</v>
      </c>
      <c r="L324" s="46">
        <f t="shared" si="32"/>
        <v>14.695340501792115</v>
      </c>
      <c r="M324" s="46">
        <f t="shared" si="33"/>
        <v>0</v>
      </c>
      <c r="N324" s="46">
        <f t="shared" si="34"/>
        <v>6.1443932411676679E-2</v>
      </c>
      <c r="O324" s="41" t="s">
        <v>1</v>
      </c>
      <c r="P324" s="50">
        <v>1967</v>
      </c>
      <c r="Q324" s="30">
        <v>1971.2</v>
      </c>
      <c r="R324" s="33">
        <v>39.400664540000001</v>
      </c>
      <c r="S324" s="46">
        <f t="shared" si="35"/>
        <v>0.71684587813620071</v>
      </c>
      <c r="T324" s="46">
        <f t="shared" si="36"/>
        <v>0.93189964157706329</v>
      </c>
      <c r="U324" s="50">
        <f>IF($I324&lt;$P324,1,0)</f>
        <v>1</v>
      </c>
      <c r="V324" s="50">
        <f>IF($I324=$P324,1,0)</f>
        <v>0</v>
      </c>
      <c r="W324" s="50">
        <f>IF($I324&gt;$P324,1,0)</f>
        <v>0</v>
      </c>
    </row>
    <row r="325" spans="1:23" x14ac:dyDescent="0.6">
      <c r="A325" s="41" t="s">
        <v>318</v>
      </c>
      <c r="B325" s="50">
        <v>100</v>
      </c>
      <c r="C325" s="51" t="s">
        <v>970</v>
      </c>
      <c r="D325" s="25" t="s">
        <v>976</v>
      </c>
      <c r="E325" s="25" t="s">
        <v>980</v>
      </c>
      <c r="F325" s="50">
        <v>4</v>
      </c>
      <c r="G325" s="50">
        <f t="shared" si="31"/>
        <v>1939</v>
      </c>
      <c r="H325" s="57">
        <v>2108</v>
      </c>
      <c r="I325" s="32">
        <v>1939</v>
      </c>
      <c r="J325" s="32">
        <v>1940.2</v>
      </c>
      <c r="K325" s="32">
        <v>10.01</v>
      </c>
      <c r="L325" s="46">
        <f t="shared" si="32"/>
        <v>8.7158329035585353</v>
      </c>
      <c r="M325" s="46">
        <f t="shared" si="33"/>
        <v>0</v>
      </c>
      <c r="N325" s="46">
        <f t="shared" si="34"/>
        <v>6.1887570912844019E-2</v>
      </c>
      <c r="O325" s="41" t="s">
        <v>1</v>
      </c>
      <c r="P325" s="50">
        <v>1955</v>
      </c>
      <c r="Q325" s="30">
        <v>1958.2</v>
      </c>
      <c r="R325" s="33">
        <v>38.631139220000001</v>
      </c>
      <c r="S325" s="46">
        <f t="shared" si="35"/>
        <v>0.82516761217122236</v>
      </c>
      <c r="T325" s="46">
        <f t="shared" si="36"/>
        <v>0.9902011346054691</v>
      </c>
      <c r="U325" s="50">
        <f>IF($I325&lt;$P325,1,0)</f>
        <v>1</v>
      </c>
      <c r="V325" s="50">
        <f>IF($I325=$P325,1,0)</f>
        <v>0</v>
      </c>
      <c r="W325" s="50">
        <f>IF($I325&gt;$P325,1,0)</f>
        <v>0</v>
      </c>
    </row>
    <row r="326" spans="1:23" x14ac:dyDescent="0.6">
      <c r="A326" s="41" t="s">
        <v>319</v>
      </c>
      <c r="B326" s="50">
        <v>100</v>
      </c>
      <c r="C326" s="51" t="s">
        <v>970</v>
      </c>
      <c r="D326" s="25" t="s">
        <v>976</v>
      </c>
      <c r="E326" s="25" t="s">
        <v>980</v>
      </c>
      <c r="F326" s="50">
        <v>5</v>
      </c>
      <c r="G326" s="50">
        <f t="shared" si="31"/>
        <v>1918</v>
      </c>
      <c r="H326" s="57">
        <v>2190</v>
      </c>
      <c r="I326" s="32">
        <v>1918</v>
      </c>
      <c r="J326" s="32">
        <v>1919</v>
      </c>
      <c r="K326" s="32">
        <v>10.01</v>
      </c>
      <c r="L326" s="46">
        <f t="shared" si="32"/>
        <v>14.181438998957246</v>
      </c>
      <c r="M326" s="46">
        <f t="shared" si="33"/>
        <v>0</v>
      </c>
      <c r="N326" s="46">
        <f t="shared" si="34"/>
        <v>5.213764337851929E-2</v>
      </c>
      <c r="O326" s="41" t="s">
        <v>1</v>
      </c>
      <c r="P326" s="50">
        <v>1934</v>
      </c>
      <c r="Q326" s="30">
        <v>1939.6</v>
      </c>
      <c r="R326" s="33">
        <v>39.005522859999999</v>
      </c>
      <c r="S326" s="46">
        <f t="shared" si="35"/>
        <v>0.83420229405630864</v>
      </c>
      <c r="T326" s="46">
        <f t="shared" si="36"/>
        <v>1.126173096976012</v>
      </c>
      <c r="U326" s="50">
        <f>IF($I326&lt;$P326,1,0)</f>
        <v>1</v>
      </c>
      <c r="V326" s="50">
        <f>IF($I326=$P326,1,0)</f>
        <v>0</v>
      </c>
      <c r="W326" s="50">
        <f>IF($I326&gt;$P326,1,0)</f>
        <v>0</v>
      </c>
    </row>
    <row r="327" spans="1:23" x14ac:dyDescent="0.6">
      <c r="A327" s="41" t="s">
        <v>320</v>
      </c>
      <c r="B327" s="50">
        <v>100</v>
      </c>
      <c r="C327" s="51" t="s">
        <v>970</v>
      </c>
      <c r="D327" s="25" t="s">
        <v>976</v>
      </c>
      <c r="E327" s="25" t="s">
        <v>980</v>
      </c>
      <c r="F327" s="50">
        <v>6</v>
      </c>
      <c r="G327" s="50">
        <f t="shared" si="31"/>
        <v>1945</v>
      </c>
      <c r="H327" s="57">
        <v>2199</v>
      </c>
      <c r="I327" s="32">
        <v>1945</v>
      </c>
      <c r="J327" s="32">
        <v>1946.2</v>
      </c>
      <c r="K327" s="32">
        <v>10.01</v>
      </c>
      <c r="L327" s="46">
        <f t="shared" si="32"/>
        <v>13.059125964010281</v>
      </c>
      <c r="M327" s="46">
        <f t="shared" si="33"/>
        <v>0</v>
      </c>
      <c r="N327" s="46">
        <f t="shared" si="34"/>
        <v>6.1696658097688706E-2</v>
      </c>
      <c r="O327" s="41" t="s">
        <v>1</v>
      </c>
      <c r="P327" s="50">
        <v>1963</v>
      </c>
      <c r="Q327" s="30">
        <v>1965.2</v>
      </c>
      <c r="R327" s="33">
        <v>39.142105020000002</v>
      </c>
      <c r="S327" s="46">
        <f t="shared" si="35"/>
        <v>0.92544987146529567</v>
      </c>
      <c r="T327" s="46">
        <f t="shared" si="36"/>
        <v>1.0385604113110565</v>
      </c>
      <c r="U327" s="50">
        <f>IF($I327&lt;$P327,1,0)</f>
        <v>1</v>
      </c>
      <c r="V327" s="50">
        <f>IF($I327=$P327,1,0)</f>
        <v>0</v>
      </c>
      <c r="W327" s="50">
        <f>IF($I327&gt;$P327,1,0)</f>
        <v>0</v>
      </c>
    </row>
    <row r="328" spans="1:23" x14ac:dyDescent="0.6">
      <c r="A328" s="41" t="s">
        <v>321</v>
      </c>
      <c r="B328" s="50">
        <v>100</v>
      </c>
      <c r="C328" s="51" t="s">
        <v>970</v>
      </c>
      <c r="D328" s="25" t="s">
        <v>976</v>
      </c>
      <c r="E328" s="25" t="s">
        <v>980</v>
      </c>
      <c r="F328" s="50">
        <v>7</v>
      </c>
      <c r="G328" s="50">
        <f t="shared" si="31"/>
        <v>1934</v>
      </c>
      <c r="H328" s="57">
        <v>2153</v>
      </c>
      <c r="I328" s="32">
        <v>1934</v>
      </c>
      <c r="J328" s="32">
        <v>1935</v>
      </c>
      <c r="K328" s="32">
        <v>10</v>
      </c>
      <c r="L328" s="46">
        <f t="shared" si="32"/>
        <v>11.323681489141675</v>
      </c>
      <c r="M328" s="46">
        <f t="shared" si="33"/>
        <v>0</v>
      </c>
      <c r="N328" s="46">
        <f t="shared" si="34"/>
        <v>5.1706308169596697E-2</v>
      </c>
      <c r="O328" s="41" t="s">
        <v>1</v>
      </c>
      <c r="P328" s="50">
        <v>1947</v>
      </c>
      <c r="Q328" s="30">
        <v>1949.2</v>
      </c>
      <c r="R328" s="33">
        <v>38.987541139999998</v>
      </c>
      <c r="S328" s="46">
        <f t="shared" si="35"/>
        <v>0.67218200620475699</v>
      </c>
      <c r="T328" s="46">
        <f t="shared" si="36"/>
        <v>0.78593588417787197</v>
      </c>
      <c r="U328" s="50">
        <f>IF($I328&lt;$P328,1,0)</f>
        <v>1</v>
      </c>
      <c r="V328" s="50">
        <f>IF($I328=$P328,1,0)</f>
        <v>0</v>
      </c>
      <c r="W328" s="50">
        <f>IF($I328&gt;$P328,1,0)</f>
        <v>0</v>
      </c>
    </row>
    <row r="329" spans="1:23" x14ac:dyDescent="0.6">
      <c r="A329" s="41" t="s">
        <v>322</v>
      </c>
      <c r="B329" s="50">
        <v>100</v>
      </c>
      <c r="C329" s="51" t="s">
        <v>970</v>
      </c>
      <c r="D329" s="25" t="s">
        <v>976</v>
      </c>
      <c r="E329" s="25" t="s">
        <v>980</v>
      </c>
      <c r="F329" s="50">
        <v>8</v>
      </c>
      <c r="G329" s="50">
        <f t="shared" si="31"/>
        <v>1935</v>
      </c>
      <c r="H329" s="57">
        <v>2241</v>
      </c>
      <c r="I329" s="32">
        <v>1935</v>
      </c>
      <c r="J329" s="32">
        <v>1936.6</v>
      </c>
      <c r="K329" s="32">
        <v>10.01</v>
      </c>
      <c r="L329" s="46">
        <f t="shared" si="32"/>
        <v>15.813953488372093</v>
      </c>
      <c r="M329" s="46">
        <f t="shared" si="33"/>
        <v>0</v>
      </c>
      <c r="N329" s="46">
        <f t="shared" si="34"/>
        <v>8.2687338501287289E-2</v>
      </c>
      <c r="O329" s="41" t="s">
        <v>1</v>
      </c>
      <c r="P329" s="50">
        <v>1954</v>
      </c>
      <c r="Q329" s="30">
        <v>1956</v>
      </c>
      <c r="R329" s="33">
        <v>38.634186980000003</v>
      </c>
      <c r="S329" s="46">
        <f t="shared" si="35"/>
        <v>0.98191214470284227</v>
      </c>
      <c r="T329" s="46">
        <f t="shared" si="36"/>
        <v>1.0852713178294573</v>
      </c>
      <c r="U329" s="50">
        <f>IF($I329&lt;$P329,1,0)</f>
        <v>1</v>
      </c>
      <c r="V329" s="50">
        <f>IF($I329=$P329,1,0)</f>
        <v>0</v>
      </c>
      <c r="W329" s="50">
        <f>IF($I329&gt;$P329,1,0)</f>
        <v>0</v>
      </c>
    </row>
    <row r="330" spans="1:23" x14ac:dyDescent="0.6">
      <c r="A330" s="41" t="s">
        <v>323</v>
      </c>
      <c r="B330" s="50">
        <v>100</v>
      </c>
      <c r="C330" s="51" t="s">
        <v>970</v>
      </c>
      <c r="D330" s="25" t="s">
        <v>976</v>
      </c>
      <c r="E330" s="25" t="s">
        <v>980</v>
      </c>
      <c r="F330" s="50">
        <v>9</v>
      </c>
      <c r="G330" s="50">
        <f t="shared" si="31"/>
        <v>1953</v>
      </c>
      <c r="H330" s="57">
        <v>2201</v>
      </c>
      <c r="I330" s="32">
        <v>1953</v>
      </c>
      <c r="J330" s="32">
        <v>1954.4</v>
      </c>
      <c r="K330" s="32">
        <v>10.01</v>
      </c>
      <c r="L330" s="46">
        <f t="shared" si="32"/>
        <v>12.698412698412698</v>
      </c>
      <c r="M330" s="46">
        <f t="shared" si="33"/>
        <v>0</v>
      </c>
      <c r="N330" s="46">
        <f t="shared" si="34"/>
        <v>7.1684587813624731E-2</v>
      </c>
      <c r="O330" s="41" t="s">
        <v>1</v>
      </c>
      <c r="P330" s="50">
        <v>1966</v>
      </c>
      <c r="Q330" s="30">
        <v>1972.6</v>
      </c>
      <c r="R330" s="33">
        <v>39.357474320000001</v>
      </c>
      <c r="S330" s="46">
        <f t="shared" si="35"/>
        <v>0.66564260112647211</v>
      </c>
      <c r="T330" s="46">
        <f t="shared" si="36"/>
        <v>1.0035842293906763</v>
      </c>
      <c r="U330" s="50">
        <f>IF($I330&lt;$P330,1,0)</f>
        <v>1</v>
      </c>
      <c r="V330" s="50">
        <f>IF($I330=$P330,1,0)</f>
        <v>0</v>
      </c>
      <c r="W330" s="50">
        <f>IF($I330&gt;$P330,1,0)</f>
        <v>0</v>
      </c>
    </row>
    <row r="331" spans="1:23" x14ac:dyDescent="0.6">
      <c r="A331" s="41" t="s">
        <v>324</v>
      </c>
      <c r="B331" s="50">
        <v>100</v>
      </c>
      <c r="C331" s="51" t="s">
        <v>970</v>
      </c>
      <c r="D331" s="25" t="s">
        <v>976</v>
      </c>
      <c r="E331" s="25" t="s">
        <v>980</v>
      </c>
      <c r="F331" s="50">
        <v>10</v>
      </c>
      <c r="G331" s="50">
        <f t="shared" si="31"/>
        <v>1906</v>
      </c>
      <c r="H331" s="57">
        <v>2296</v>
      </c>
      <c r="I331" s="32">
        <v>1906</v>
      </c>
      <c r="J331" s="32">
        <v>1907.6</v>
      </c>
      <c r="K331" s="32">
        <v>10.01</v>
      </c>
      <c r="L331" s="46">
        <f t="shared" si="32"/>
        <v>20.461699895068204</v>
      </c>
      <c r="M331" s="46">
        <f t="shared" si="33"/>
        <v>0</v>
      </c>
      <c r="N331" s="46">
        <f t="shared" si="34"/>
        <v>8.3945435466941706E-2</v>
      </c>
      <c r="O331" s="41" t="s">
        <v>1</v>
      </c>
      <c r="P331" s="50">
        <v>1915</v>
      </c>
      <c r="Q331" s="30">
        <v>1921</v>
      </c>
      <c r="R331" s="33">
        <v>39.543063240000002</v>
      </c>
      <c r="S331" s="46">
        <f t="shared" si="35"/>
        <v>0.47219307450157399</v>
      </c>
      <c r="T331" s="46">
        <f t="shared" si="36"/>
        <v>0.78698845750262325</v>
      </c>
      <c r="U331" s="50">
        <f>IF($I331&lt;$P331,1,0)</f>
        <v>1</v>
      </c>
      <c r="V331" s="50">
        <f>IF($I331=$P331,1,0)</f>
        <v>0</v>
      </c>
      <c r="W331" s="50">
        <f>IF($I331&gt;$P331,1,0)</f>
        <v>0</v>
      </c>
    </row>
    <row r="332" spans="1:23" x14ac:dyDescent="0.6">
      <c r="A332" s="41" t="s">
        <v>325</v>
      </c>
      <c r="B332" s="50">
        <v>100</v>
      </c>
      <c r="C332" s="51" t="s">
        <v>970</v>
      </c>
      <c r="D332" s="25" t="s">
        <v>976</v>
      </c>
      <c r="E332" s="25" t="s">
        <v>984</v>
      </c>
      <c r="F332" s="50">
        <v>1</v>
      </c>
      <c r="G332" s="50">
        <f t="shared" si="31"/>
        <v>1931</v>
      </c>
      <c r="H332" s="57">
        <v>2441</v>
      </c>
      <c r="I332" s="32">
        <v>1931</v>
      </c>
      <c r="J332" s="32">
        <v>1932</v>
      </c>
      <c r="K332" s="32">
        <v>10.01</v>
      </c>
      <c r="L332" s="46">
        <f t="shared" si="32"/>
        <v>26.411185914034181</v>
      </c>
      <c r="M332" s="46">
        <f t="shared" si="33"/>
        <v>0</v>
      </c>
      <c r="N332" s="46">
        <f t="shared" si="34"/>
        <v>5.178663904712584E-2</v>
      </c>
      <c r="O332" s="41" t="s">
        <v>1</v>
      </c>
      <c r="P332" s="50">
        <v>1948</v>
      </c>
      <c r="Q332" s="30">
        <v>1952.2</v>
      </c>
      <c r="R332" s="33">
        <v>39.613391319999998</v>
      </c>
      <c r="S332" s="46">
        <f t="shared" si="35"/>
        <v>0.88037286380113922</v>
      </c>
      <c r="T332" s="46">
        <f t="shared" si="36"/>
        <v>1.0978767477990701</v>
      </c>
      <c r="U332" s="50">
        <f>IF($I332&lt;$P332,1,0)</f>
        <v>1</v>
      </c>
      <c r="V332" s="50">
        <f>IF($I332=$P332,1,0)</f>
        <v>0</v>
      </c>
      <c r="W332" s="50">
        <f>IF($I332&gt;$P332,1,0)</f>
        <v>0</v>
      </c>
    </row>
    <row r="333" spans="1:23" x14ac:dyDescent="0.6">
      <c r="A333" s="41" t="s">
        <v>326</v>
      </c>
      <c r="B333" s="50">
        <v>100</v>
      </c>
      <c r="C333" s="51" t="s">
        <v>970</v>
      </c>
      <c r="D333" s="25" t="s">
        <v>976</v>
      </c>
      <c r="E333" s="25" t="s">
        <v>984</v>
      </c>
      <c r="F333" s="50">
        <v>2</v>
      </c>
      <c r="G333" s="50">
        <f t="shared" si="31"/>
        <v>1930</v>
      </c>
      <c r="H333" s="57">
        <v>2481</v>
      </c>
      <c r="I333" s="32">
        <v>1930</v>
      </c>
      <c r="J333" s="32">
        <v>1930.6</v>
      </c>
      <c r="K333" s="32">
        <v>10.01</v>
      </c>
      <c r="L333" s="46">
        <f t="shared" si="32"/>
        <v>28.54922279792746</v>
      </c>
      <c r="M333" s="46">
        <f t="shared" si="33"/>
        <v>0</v>
      </c>
      <c r="N333" s="46">
        <f t="shared" si="34"/>
        <v>3.1088082901549692E-2</v>
      </c>
      <c r="O333" s="41" t="s">
        <v>1</v>
      </c>
      <c r="P333" s="50">
        <v>1939</v>
      </c>
      <c r="Q333" s="30">
        <v>1948.6</v>
      </c>
      <c r="R333" s="33">
        <v>38.751852460000002</v>
      </c>
      <c r="S333" s="46">
        <f t="shared" si="35"/>
        <v>0.466321243523316</v>
      </c>
      <c r="T333" s="46">
        <f t="shared" si="36"/>
        <v>0.96373056994818185</v>
      </c>
      <c r="U333" s="50">
        <f>IF($I333&lt;$P333,1,0)</f>
        <v>1</v>
      </c>
      <c r="V333" s="50">
        <f>IF($I333=$P333,1,0)</f>
        <v>0</v>
      </c>
      <c r="W333" s="50">
        <f>IF($I333&gt;$P333,1,0)</f>
        <v>0</v>
      </c>
    </row>
    <row r="334" spans="1:23" x14ac:dyDescent="0.6">
      <c r="A334" s="41" t="s">
        <v>327</v>
      </c>
      <c r="B334" s="50">
        <v>100</v>
      </c>
      <c r="C334" s="51" t="s">
        <v>970</v>
      </c>
      <c r="D334" s="25" t="s">
        <v>976</v>
      </c>
      <c r="E334" s="25" t="s">
        <v>982</v>
      </c>
      <c r="F334" s="50">
        <v>3</v>
      </c>
      <c r="G334" s="50">
        <f t="shared" si="31"/>
        <v>1954</v>
      </c>
      <c r="H334" s="57">
        <v>2474</v>
      </c>
      <c r="I334" s="32">
        <v>1954</v>
      </c>
      <c r="J334" s="32">
        <v>1954.6</v>
      </c>
      <c r="K334" s="32">
        <v>10.01</v>
      </c>
      <c r="L334" s="46">
        <f t="shared" si="32"/>
        <v>26.612077789150462</v>
      </c>
      <c r="M334" s="46">
        <f t="shared" si="33"/>
        <v>0</v>
      </c>
      <c r="N334" s="46">
        <f t="shared" si="34"/>
        <v>3.0706243602861262E-2</v>
      </c>
      <c r="O334" s="41" t="s">
        <v>1</v>
      </c>
      <c r="P334" s="50">
        <v>1971</v>
      </c>
      <c r="Q334" s="30">
        <v>1972.8</v>
      </c>
      <c r="R334" s="33">
        <v>39.38153544</v>
      </c>
      <c r="S334" s="46">
        <f t="shared" si="35"/>
        <v>0.87001023541453426</v>
      </c>
      <c r="T334" s="46">
        <f t="shared" si="36"/>
        <v>0.96212896622312971</v>
      </c>
      <c r="U334" s="50">
        <f>IF($I334&lt;$P334,1,0)</f>
        <v>1</v>
      </c>
      <c r="V334" s="50">
        <f>IF($I334=$P334,1,0)</f>
        <v>0</v>
      </c>
      <c r="W334" s="50">
        <f>IF($I334&gt;$P334,1,0)</f>
        <v>0</v>
      </c>
    </row>
    <row r="335" spans="1:23" x14ac:dyDescent="0.6">
      <c r="A335" s="41" t="s">
        <v>328</v>
      </c>
      <c r="B335" s="50">
        <v>100</v>
      </c>
      <c r="C335" s="51" t="s">
        <v>970</v>
      </c>
      <c r="D335" s="25" t="s">
        <v>976</v>
      </c>
      <c r="E335" s="25" t="s">
        <v>982</v>
      </c>
      <c r="F335" s="50">
        <v>4</v>
      </c>
      <c r="G335" s="50">
        <f t="shared" si="31"/>
        <v>1940</v>
      </c>
      <c r="H335" s="57">
        <v>2243</v>
      </c>
      <c r="I335" s="32">
        <v>1940</v>
      </c>
      <c r="J335" s="32">
        <v>1941.2</v>
      </c>
      <c r="K335" s="32">
        <v>10.01</v>
      </c>
      <c r="L335" s="46">
        <f t="shared" si="32"/>
        <v>15.618556701030927</v>
      </c>
      <c r="M335" s="46">
        <f t="shared" si="33"/>
        <v>0</v>
      </c>
      <c r="N335" s="46">
        <f t="shared" si="34"/>
        <v>6.1855670103095131E-2</v>
      </c>
      <c r="O335" s="41" t="s">
        <v>1</v>
      </c>
      <c r="P335" s="50">
        <v>1953</v>
      </c>
      <c r="Q335" s="30">
        <v>1958.2</v>
      </c>
      <c r="R335" s="33">
        <v>39.087786020000003</v>
      </c>
      <c r="S335" s="46">
        <f t="shared" si="35"/>
        <v>0.67010309278350511</v>
      </c>
      <c r="T335" s="46">
        <f t="shared" si="36"/>
        <v>0.93814432989690955</v>
      </c>
      <c r="U335" s="50">
        <f>IF($I335&lt;$P335,1,0)</f>
        <v>1</v>
      </c>
      <c r="V335" s="50">
        <f>IF($I335=$P335,1,0)</f>
        <v>0</v>
      </c>
      <c r="W335" s="50">
        <f>IF($I335&gt;$P335,1,0)</f>
        <v>0</v>
      </c>
    </row>
    <row r="336" spans="1:23" x14ac:dyDescent="0.6">
      <c r="A336" s="41" t="s">
        <v>329</v>
      </c>
      <c r="B336" s="50">
        <v>100</v>
      </c>
      <c r="C336" s="51" t="s">
        <v>970</v>
      </c>
      <c r="D336" s="25" t="s">
        <v>976</v>
      </c>
      <c r="E336" s="25" t="s">
        <v>982</v>
      </c>
      <c r="F336" s="50">
        <v>5</v>
      </c>
      <c r="G336" s="50">
        <f t="shared" si="31"/>
        <v>1919</v>
      </c>
      <c r="H336" s="57">
        <v>2431</v>
      </c>
      <c r="I336" s="32">
        <v>1919</v>
      </c>
      <c r="J336" s="32">
        <v>1919.8</v>
      </c>
      <c r="K336" s="32">
        <v>10.01</v>
      </c>
      <c r="L336" s="46">
        <f t="shared" si="32"/>
        <v>26.680562793121414</v>
      </c>
      <c r="M336" s="46">
        <f t="shared" si="33"/>
        <v>0</v>
      </c>
      <c r="N336" s="46">
        <f t="shared" si="34"/>
        <v>4.1688379364249843E-2</v>
      </c>
      <c r="O336" s="41" t="s">
        <v>1</v>
      </c>
      <c r="P336" s="50">
        <v>1932</v>
      </c>
      <c r="Q336" s="30">
        <v>1937.2</v>
      </c>
      <c r="R336" s="33">
        <v>40.164488800000001</v>
      </c>
      <c r="S336" s="46">
        <f t="shared" si="35"/>
        <v>0.67743616466909851</v>
      </c>
      <c r="T336" s="46">
        <f t="shared" si="36"/>
        <v>0.94841063053674024</v>
      </c>
      <c r="U336" s="50">
        <f>IF($I336&lt;$P336,1,0)</f>
        <v>1</v>
      </c>
      <c r="V336" s="50">
        <f>IF($I336=$P336,1,0)</f>
        <v>0</v>
      </c>
      <c r="W336" s="50">
        <f>IF($I336&gt;$P336,1,0)</f>
        <v>0</v>
      </c>
    </row>
    <row r="337" spans="1:23" x14ac:dyDescent="0.6">
      <c r="A337" s="41" t="s">
        <v>330</v>
      </c>
      <c r="B337" s="50">
        <v>100</v>
      </c>
      <c r="C337" s="51" t="s">
        <v>970</v>
      </c>
      <c r="D337" s="25" t="s">
        <v>976</v>
      </c>
      <c r="E337" s="25" t="s">
        <v>982</v>
      </c>
      <c r="F337" s="50">
        <v>6</v>
      </c>
      <c r="G337" s="50">
        <f t="shared" si="31"/>
        <v>1945</v>
      </c>
      <c r="H337" s="57">
        <v>2437</v>
      </c>
      <c r="I337" s="32">
        <v>1945</v>
      </c>
      <c r="J337" s="32">
        <v>1946.6</v>
      </c>
      <c r="K337" s="32">
        <v>10.01</v>
      </c>
      <c r="L337" s="46">
        <f t="shared" si="32"/>
        <v>25.295629820051413</v>
      </c>
      <c r="M337" s="46">
        <f t="shared" si="33"/>
        <v>0</v>
      </c>
      <c r="N337" s="46">
        <f t="shared" si="34"/>
        <v>8.2262210796910484E-2</v>
      </c>
      <c r="O337" s="41" t="s">
        <v>1</v>
      </c>
      <c r="P337" s="50">
        <v>1958</v>
      </c>
      <c r="Q337" s="30">
        <v>1964.2</v>
      </c>
      <c r="R337" s="33">
        <v>39.016682359999997</v>
      </c>
      <c r="S337" s="46">
        <f t="shared" si="35"/>
        <v>0.66838046272493568</v>
      </c>
      <c r="T337" s="46">
        <f t="shared" si="36"/>
        <v>0.98714652956298432</v>
      </c>
      <c r="U337" s="50">
        <f>IF($I337&lt;$P337,1,0)</f>
        <v>1</v>
      </c>
      <c r="V337" s="50">
        <f>IF($I337=$P337,1,0)</f>
        <v>0</v>
      </c>
      <c r="W337" s="50">
        <f>IF($I337&gt;$P337,1,0)</f>
        <v>0</v>
      </c>
    </row>
    <row r="338" spans="1:23" x14ac:dyDescent="0.6">
      <c r="A338" s="41" t="s">
        <v>331</v>
      </c>
      <c r="B338" s="50">
        <v>100</v>
      </c>
      <c r="C338" s="51" t="s">
        <v>970</v>
      </c>
      <c r="D338" s="25" t="s">
        <v>976</v>
      </c>
      <c r="E338" s="25" t="s">
        <v>982</v>
      </c>
      <c r="F338" s="50">
        <v>7</v>
      </c>
      <c r="G338" s="50">
        <f t="shared" si="31"/>
        <v>1935</v>
      </c>
      <c r="H338" s="57">
        <v>2357</v>
      </c>
      <c r="I338" s="32">
        <v>1935</v>
      </c>
      <c r="J338" s="32">
        <v>1936.2</v>
      </c>
      <c r="K338" s="32">
        <v>10.01</v>
      </c>
      <c r="L338" s="46">
        <f t="shared" si="32"/>
        <v>21.808785529715763</v>
      </c>
      <c r="M338" s="46">
        <f t="shared" si="33"/>
        <v>0</v>
      </c>
      <c r="N338" s="46">
        <f t="shared" si="34"/>
        <v>6.2015503875971337E-2</v>
      </c>
      <c r="O338" s="41" t="s">
        <v>1</v>
      </c>
      <c r="P338" s="50">
        <v>1947</v>
      </c>
      <c r="Q338" s="30">
        <v>1954.2</v>
      </c>
      <c r="R338" s="33">
        <v>37.905823300000002</v>
      </c>
      <c r="S338" s="46">
        <f t="shared" si="35"/>
        <v>0.62015503875968991</v>
      </c>
      <c r="T338" s="46">
        <f t="shared" si="36"/>
        <v>0.99224806201550619</v>
      </c>
      <c r="U338" s="50">
        <f>IF($I338&lt;$P338,1,0)</f>
        <v>1</v>
      </c>
      <c r="V338" s="50">
        <f>IF($I338=$P338,1,0)</f>
        <v>0</v>
      </c>
      <c r="W338" s="50">
        <f>IF($I338&gt;$P338,1,0)</f>
        <v>0</v>
      </c>
    </row>
    <row r="339" spans="1:23" x14ac:dyDescent="0.6">
      <c r="A339" s="41" t="s">
        <v>332</v>
      </c>
      <c r="B339" s="50">
        <v>100</v>
      </c>
      <c r="C339" s="51" t="s">
        <v>970</v>
      </c>
      <c r="D339" s="25" t="s">
        <v>976</v>
      </c>
      <c r="E339" s="25" t="s">
        <v>982</v>
      </c>
      <c r="F339" s="50">
        <v>8</v>
      </c>
      <c r="G339" s="50">
        <f t="shared" si="31"/>
        <v>1934</v>
      </c>
      <c r="H339" s="57">
        <v>2496</v>
      </c>
      <c r="I339" s="32">
        <v>1934</v>
      </c>
      <c r="J339" s="32">
        <v>1936</v>
      </c>
      <c r="K339" s="32">
        <v>10.01</v>
      </c>
      <c r="L339" s="46">
        <f t="shared" si="32"/>
        <v>29.058945191313342</v>
      </c>
      <c r="M339" s="46">
        <f t="shared" si="33"/>
        <v>0</v>
      </c>
      <c r="N339" s="46">
        <f t="shared" si="34"/>
        <v>0.10341261633919339</v>
      </c>
      <c r="O339" s="41" t="s">
        <v>1</v>
      </c>
      <c r="P339" s="50">
        <v>1952</v>
      </c>
      <c r="Q339" s="30">
        <v>1955.8</v>
      </c>
      <c r="R339" s="33">
        <v>39.076341020000001</v>
      </c>
      <c r="S339" s="46">
        <f t="shared" si="35"/>
        <v>0.93071354705274045</v>
      </c>
      <c r="T339" s="46">
        <f t="shared" si="36"/>
        <v>1.1271975180972056</v>
      </c>
      <c r="U339" s="50">
        <f>IF($I339&lt;$P339,1,0)</f>
        <v>1</v>
      </c>
      <c r="V339" s="50">
        <f>IF($I339=$P339,1,0)</f>
        <v>0</v>
      </c>
      <c r="W339" s="50">
        <f>IF($I339&gt;$P339,1,0)</f>
        <v>0</v>
      </c>
    </row>
    <row r="340" spans="1:23" x14ac:dyDescent="0.6">
      <c r="A340" s="41" t="s">
        <v>333</v>
      </c>
      <c r="B340" s="50">
        <v>100</v>
      </c>
      <c r="C340" s="51" t="s">
        <v>970</v>
      </c>
      <c r="D340" s="25" t="s">
        <v>976</v>
      </c>
      <c r="E340" s="25" t="s">
        <v>982</v>
      </c>
      <c r="F340" s="50">
        <v>9</v>
      </c>
      <c r="G340" s="50">
        <f t="shared" si="31"/>
        <v>1954</v>
      </c>
      <c r="H340" s="57">
        <v>2424</v>
      </c>
      <c r="I340" s="32">
        <v>1954</v>
      </c>
      <c r="J340" s="32">
        <v>1955.2</v>
      </c>
      <c r="K340" s="32">
        <v>10</v>
      </c>
      <c r="L340" s="46">
        <f t="shared" si="32"/>
        <v>24.053224155578302</v>
      </c>
      <c r="M340" s="46">
        <f t="shared" si="33"/>
        <v>0</v>
      </c>
      <c r="N340" s="46">
        <f t="shared" si="34"/>
        <v>6.1412487205734154E-2</v>
      </c>
      <c r="O340" s="41" t="s">
        <v>1</v>
      </c>
      <c r="P340" s="50">
        <v>1969</v>
      </c>
      <c r="Q340" s="30">
        <v>1973.8</v>
      </c>
      <c r="R340" s="33">
        <v>38.911809140000003</v>
      </c>
      <c r="S340" s="46">
        <f t="shared" si="35"/>
        <v>0.76765609007164781</v>
      </c>
      <c r="T340" s="46">
        <f t="shared" si="36"/>
        <v>1.0133060388945729</v>
      </c>
      <c r="U340" s="50">
        <f>IF($I340&lt;$P340,1,0)</f>
        <v>1</v>
      </c>
      <c r="V340" s="50">
        <f>IF($I340=$P340,1,0)</f>
        <v>0</v>
      </c>
      <c r="W340" s="50">
        <f>IF($I340&gt;$P340,1,0)</f>
        <v>0</v>
      </c>
    </row>
    <row r="341" spans="1:23" x14ac:dyDescent="0.6">
      <c r="A341" s="41" t="s">
        <v>334</v>
      </c>
      <c r="B341" s="50">
        <v>100</v>
      </c>
      <c r="C341" s="51" t="s">
        <v>970</v>
      </c>
      <c r="D341" s="25" t="s">
        <v>976</v>
      </c>
      <c r="E341" s="25" t="s">
        <v>982</v>
      </c>
      <c r="F341" s="50">
        <v>10</v>
      </c>
      <c r="G341" s="50">
        <f t="shared" si="31"/>
        <v>1907</v>
      </c>
      <c r="H341" s="57">
        <v>2615</v>
      </c>
      <c r="I341" s="32">
        <v>1907</v>
      </c>
      <c r="J341" s="32">
        <v>1908</v>
      </c>
      <c r="K341" s="32">
        <v>10.01</v>
      </c>
      <c r="L341" s="46">
        <f t="shared" si="32"/>
        <v>37.126376507603567</v>
      </c>
      <c r="M341" s="46">
        <f t="shared" si="33"/>
        <v>0</v>
      </c>
      <c r="N341" s="46">
        <f t="shared" si="34"/>
        <v>5.2438384897745147E-2</v>
      </c>
      <c r="O341" s="41" t="s">
        <v>1</v>
      </c>
      <c r="P341" s="50">
        <v>1921</v>
      </c>
      <c r="Q341" s="30">
        <v>1924.4</v>
      </c>
      <c r="R341" s="33">
        <v>38.561430420000001</v>
      </c>
      <c r="S341" s="46">
        <f t="shared" si="35"/>
        <v>0.73413738856843214</v>
      </c>
      <c r="T341" s="46">
        <f t="shared" si="36"/>
        <v>0.91242789722077045</v>
      </c>
      <c r="U341" s="50">
        <f>IF($I341&lt;$P341,1,0)</f>
        <v>1</v>
      </c>
      <c r="V341" s="50">
        <f>IF($I341=$P341,1,0)</f>
        <v>0</v>
      </c>
      <c r="W341" s="50">
        <f>IF($I341&gt;$P341,1,0)</f>
        <v>0</v>
      </c>
    </row>
    <row r="342" spans="1:23" x14ac:dyDescent="0.6">
      <c r="A342" s="41" t="s">
        <v>335</v>
      </c>
      <c r="B342" s="50">
        <v>100</v>
      </c>
      <c r="C342" s="51" t="s">
        <v>970</v>
      </c>
      <c r="D342" s="25" t="s">
        <v>979</v>
      </c>
      <c r="E342" s="25" t="s">
        <v>981</v>
      </c>
      <c r="F342" s="50">
        <v>1</v>
      </c>
      <c r="G342" s="50">
        <f t="shared" si="31"/>
        <v>2425</v>
      </c>
      <c r="H342" s="57">
        <v>2624</v>
      </c>
      <c r="I342" s="32">
        <v>2425</v>
      </c>
      <c r="J342" s="32">
        <v>2426.4</v>
      </c>
      <c r="K342" s="32">
        <v>10.01</v>
      </c>
      <c r="L342" s="46">
        <f t="shared" si="32"/>
        <v>8.2061855670103085</v>
      </c>
      <c r="M342" s="46">
        <f t="shared" si="33"/>
        <v>0</v>
      </c>
      <c r="N342" s="46">
        <f t="shared" si="34"/>
        <v>5.7731958762890348E-2</v>
      </c>
      <c r="O342" s="41" t="s">
        <v>1</v>
      </c>
      <c r="P342" s="50">
        <v>2441</v>
      </c>
      <c r="Q342" s="30">
        <v>2447.1999999999998</v>
      </c>
      <c r="R342" s="33">
        <v>38.77212222</v>
      </c>
      <c r="S342" s="46">
        <f t="shared" si="35"/>
        <v>0.65979381443298968</v>
      </c>
      <c r="T342" s="46">
        <f t="shared" si="36"/>
        <v>0.91546391752576561</v>
      </c>
      <c r="U342" s="50">
        <f>IF($I342&lt;$P342,1,0)</f>
        <v>1</v>
      </c>
      <c r="V342" s="50">
        <f>IF($I342=$P342,1,0)</f>
        <v>0</v>
      </c>
      <c r="W342" s="50">
        <f>IF($I342&gt;$P342,1,0)</f>
        <v>0</v>
      </c>
    </row>
    <row r="343" spans="1:23" x14ac:dyDescent="0.6">
      <c r="A343" s="41" t="s">
        <v>336</v>
      </c>
      <c r="B343" s="50">
        <v>100</v>
      </c>
      <c r="C343" s="51" t="s">
        <v>970</v>
      </c>
      <c r="D343" s="25" t="s">
        <v>979</v>
      </c>
      <c r="E343" s="25" t="s">
        <v>983</v>
      </c>
      <c r="F343" s="50">
        <v>2</v>
      </c>
      <c r="G343" s="50">
        <f t="shared" si="31"/>
        <v>2424</v>
      </c>
      <c r="H343" s="57">
        <v>2647</v>
      </c>
      <c r="I343" s="32">
        <v>2424</v>
      </c>
      <c r="J343" s="32">
        <v>2425.1999999999998</v>
      </c>
      <c r="K343" s="32">
        <v>10.01</v>
      </c>
      <c r="L343" s="46">
        <f t="shared" si="32"/>
        <v>9.1996699669966997</v>
      </c>
      <c r="M343" s="46">
        <f t="shared" si="33"/>
        <v>0</v>
      </c>
      <c r="N343" s="46">
        <f t="shared" si="34"/>
        <v>4.9504950495041999E-2</v>
      </c>
      <c r="O343" s="41" t="s">
        <v>1</v>
      </c>
      <c r="P343" s="50">
        <v>2438</v>
      </c>
      <c r="Q343" s="30">
        <v>2443</v>
      </c>
      <c r="R343" s="33">
        <v>38.572296799999997</v>
      </c>
      <c r="S343" s="46">
        <f t="shared" si="35"/>
        <v>0.57755775577557755</v>
      </c>
      <c r="T343" s="46">
        <f t="shared" si="36"/>
        <v>0.78382838283828382</v>
      </c>
      <c r="U343" s="50">
        <f>IF($I343&lt;$P343,1,0)</f>
        <v>1</v>
      </c>
      <c r="V343" s="50">
        <f>IF($I343=$P343,1,0)</f>
        <v>0</v>
      </c>
      <c r="W343" s="50">
        <f>IF($I343&gt;$P343,1,0)</f>
        <v>0</v>
      </c>
    </row>
    <row r="344" spans="1:23" x14ac:dyDescent="0.6">
      <c r="A344" s="41" t="s">
        <v>337</v>
      </c>
      <c r="B344" s="50">
        <v>100</v>
      </c>
      <c r="C344" s="51" t="s">
        <v>970</v>
      </c>
      <c r="D344" s="25" t="s">
        <v>978</v>
      </c>
      <c r="E344" s="25" t="s">
        <v>980</v>
      </c>
      <c r="F344" s="50">
        <v>3</v>
      </c>
      <c r="G344" s="50">
        <f t="shared" si="31"/>
        <v>2448</v>
      </c>
      <c r="H344" s="57">
        <v>2685</v>
      </c>
      <c r="I344" s="32">
        <v>2448</v>
      </c>
      <c r="J344" s="32">
        <v>2449.6</v>
      </c>
      <c r="K344" s="32">
        <v>10.01</v>
      </c>
      <c r="L344" s="46">
        <f t="shared" si="32"/>
        <v>9.6813725490196081</v>
      </c>
      <c r="M344" s="46">
        <f t="shared" si="33"/>
        <v>0</v>
      </c>
      <c r="N344" s="46">
        <f t="shared" si="34"/>
        <v>6.5359477124179291E-2</v>
      </c>
      <c r="O344" s="41" t="s">
        <v>1</v>
      </c>
      <c r="P344" s="50">
        <v>2465</v>
      </c>
      <c r="Q344" s="30">
        <v>2468.8000000000002</v>
      </c>
      <c r="R344" s="33">
        <v>38.153379819999998</v>
      </c>
      <c r="S344" s="46">
        <f t="shared" si="35"/>
        <v>0.69444444444444442</v>
      </c>
      <c r="T344" s="46">
        <f t="shared" si="36"/>
        <v>0.8496732026143865</v>
      </c>
      <c r="U344" s="50">
        <f>IF($I344&lt;$P344,1,0)</f>
        <v>1</v>
      </c>
      <c r="V344" s="50">
        <f>IF($I344=$P344,1,0)</f>
        <v>0</v>
      </c>
      <c r="W344" s="50">
        <f>IF($I344&gt;$P344,1,0)</f>
        <v>0</v>
      </c>
    </row>
    <row r="345" spans="1:23" x14ac:dyDescent="0.6">
      <c r="A345" s="41" t="s">
        <v>338</v>
      </c>
      <c r="B345" s="50">
        <v>100</v>
      </c>
      <c r="C345" s="51" t="s">
        <v>970</v>
      </c>
      <c r="D345" s="25" t="s">
        <v>978</v>
      </c>
      <c r="E345" s="25" t="s">
        <v>980</v>
      </c>
      <c r="F345" s="50">
        <v>4</v>
      </c>
      <c r="G345" s="50">
        <f t="shared" si="31"/>
        <v>2433</v>
      </c>
      <c r="H345" s="57">
        <v>2574</v>
      </c>
      <c r="I345" s="32">
        <v>2433</v>
      </c>
      <c r="J345" s="32">
        <v>2434.8000000000002</v>
      </c>
      <c r="K345" s="32">
        <v>10.01</v>
      </c>
      <c r="L345" s="46">
        <f t="shared" si="32"/>
        <v>5.7953144266337855</v>
      </c>
      <c r="M345" s="46">
        <f t="shared" si="33"/>
        <v>0</v>
      </c>
      <c r="N345" s="46">
        <f t="shared" si="34"/>
        <v>7.3982737361289838E-2</v>
      </c>
      <c r="O345" s="41" t="s">
        <v>1</v>
      </c>
      <c r="P345" s="50">
        <v>2450</v>
      </c>
      <c r="Q345" s="30">
        <v>2453.4</v>
      </c>
      <c r="R345" s="33">
        <v>38.215006619999997</v>
      </c>
      <c r="S345" s="46">
        <f t="shared" si="35"/>
        <v>0.69872585285655575</v>
      </c>
      <c r="T345" s="46">
        <f t="shared" si="36"/>
        <v>0.83847102342787061</v>
      </c>
      <c r="U345" s="50">
        <f>IF($I345&lt;$P345,1,0)</f>
        <v>1</v>
      </c>
      <c r="V345" s="50">
        <f>IF($I345=$P345,1,0)</f>
        <v>0</v>
      </c>
      <c r="W345" s="50">
        <f>IF($I345&gt;$P345,1,0)</f>
        <v>0</v>
      </c>
    </row>
    <row r="346" spans="1:23" x14ac:dyDescent="0.6">
      <c r="A346" s="41" t="s">
        <v>339</v>
      </c>
      <c r="B346" s="50">
        <v>100</v>
      </c>
      <c r="C346" s="51" t="s">
        <v>970</v>
      </c>
      <c r="D346" s="25" t="s">
        <v>978</v>
      </c>
      <c r="E346" s="25" t="s">
        <v>980</v>
      </c>
      <c r="F346" s="50">
        <v>5</v>
      </c>
      <c r="G346" s="50">
        <f t="shared" si="31"/>
        <v>2413</v>
      </c>
      <c r="H346" s="57">
        <v>2627</v>
      </c>
      <c r="I346" s="32">
        <v>2413</v>
      </c>
      <c r="J346" s="32">
        <v>2414</v>
      </c>
      <c r="K346" s="32">
        <v>10.01</v>
      </c>
      <c r="L346" s="46">
        <f t="shared" si="32"/>
        <v>8.8686282635723153</v>
      </c>
      <c r="M346" s="46">
        <f t="shared" si="33"/>
        <v>0</v>
      </c>
      <c r="N346" s="46">
        <f t="shared" si="34"/>
        <v>4.1442188147534191E-2</v>
      </c>
      <c r="O346" s="41" t="s">
        <v>1</v>
      </c>
      <c r="P346" s="50">
        <v>2422</v>
      </c>
      <c r="Q346" s="30">
        <v>2431</v>
      </c>
      <c r="R346" s="33">
        <v>38.652110860000001</v>
      </c>
      <c r="S346" s="46">
        <f t="shared" si="35"/>
        <v>0.37297969332780773</v>
      </c>
      <c r="T346" s="46">
        <f t="shared" si="36"/>
        <v>0.74595938665561545</v>
      </c>
      <c r="U346" s="50">
        <f>IF($I346&lt;$P346,1,0)</f>
        <v>1</v>
      </c>
      <c r="V346" s="50">
        <f>IF($I346=$P346,1,0)</f>
        <v>0</v>
      </c>
      <c r="W346" s="50">
        <f>IF($I346&gt;$P346,1,0)</f>
        <v>0</v>
      </c>
    </row>
    <row r="347" spans="1:23" x14ac:dyDescent="0.6">
      <c r="A347" s="41" t="s">
        <v>340</v>
      </c>
      <c r="B347" s="50">
        <v>100</v>
      </c>
      <c r="C347" s="51" t="s">
        <v>970</v>
      </c>
      <c r="D347" s="25" t="s">
        <v>978</v>
      </c>
      <c r="E347" s="25" t="s">
        <v>980</v>
      </c>
      <c r="F347" s="50">
        <v>6</v>
      </c>
      <c r="G347" s="50">
        <f t="shared" si="31"/>
        <v>2440</v>
      </c>
      <c r="H347" s="57">
        <v>2644</v>
      </c>
      <c r="I347" s="32">
        <v>2440</v>
      </c>
      <c r="J347" s="32">
        <v>2440.8000000000002</v>
      </c>
      <c r="K347" s="32">
        <v>10.01</v>
      </c>
      <c r="L347" s="46">
        <f t="shared" si="32"/>
        <v>8.3606557377049189</v>
      </c>
      <c r="M347" s="46">
        <f t="shared" si="33"/>
        <v>0</v>
      </c>
      <c r="N347" s="46">
        <f t="shared" si="34"/>
        <v>3.2786885245909093E-2</v>
      </c>
      <c r="O347" s="41" t="s">
        <v>1</v>
      </c>
      <c r="P347" s="50">
        <v>2454</v>
      </c>
      <c r="Q347" s="30">
        <v>2458</v>
      </c>
      <c r="R347" s="33">
        <v>39.27934612</v>
      </c>
      <c r="S347" s="46">
        <f t="shared" si="35"/>
        <v>0.57377049180327866</v>
      </c>
      <c r="T347" s="46">
        <f t="shared" si="36"/>
        <v>0.73770491803278693</v>
      </c>
      <c r="U347" s="50">
        <f>IF($I347&lt;$P347,1,0)</f>
        <v>1</v>
      </c>
      <c r="V347" s="50">
        <f>IF($I347=$P347,1,0)</f>
        <v>0</v>
      </c>
      <c r="W347" s="50">
        <f>IF($I347&gt;$P347,1,0)</f>
        <v>0</v>
      </c>
    </row>
    <row r="348" spans="1:23" x14ac:dyDescent="0.6">
      <c r="A348" s="41" t="s">
        <v>341</v>
      </c>
      <c r="B348" s="50">
        <v>100</v>
      </c>
      <c r="C348" s="51" t="s">
        <v>970</v>
      </c>
      <c r="D348" s="25" t="s">
        <v>978</v>
      </c>
      <c r="E348" s="25" t="s">
        <v>980</v>
      </c>
      <c r="F348" s="50">
        <v>7</v>
      </c>
      <c r="G348" s="50">
        <f t="shared" si="31"/>
        <v>2428</v>
      </c>
      <c r="H348" s="57">
        <v>2603</v>
      </c>
      <c r="I348" s="32">
        <v>2428</v>
      </c>
      <c r="J348" s="32">
        <v>2430.4</v>
      </c>
      <c r="K348" s="32">
        <v>10.01</v>
      </c>
      <c r="L348" s="46">
        <f t="shared" si="32"/>
        <v>7.207578253706755</v>
      </c>
      <c r="M348" s="46">
        <f t="shared" si="33"/>
        <v>0</v>
      </c>
      <c r="N348" s="46">
        <f t="shared" si="34"/>
        <v>9.8846787479410655E-2</v>
      </c>
      <c r="O348" s="41" t="s">
        <v>1</v>
      </c>
      <c r="P348" s="50">
        <v>2447</v>
      </c>
      <c r="Q348" s="30">
        <v>2448.8000000000002</v>
      </c>
      <c r="R348" s="33">
        <v>38.52647194</v>
      </c>
      <c r="S348" s="46">
        <f t="shared" si="35"/>
        <v>0.78253706754530472</v>
      </c>
      <c r="T348" s="46">
        <f t="shared" si="36"/>
        <v>0.85667215815486752</v>
      </c>
      <c r="U348" s="50">
        <f>IF($I348&lt;$P348,1,0)</f>
        <v>1</v>
      </c>
      <c r="V348" s="50">
        <f>IF($I348=$P348,1,0)</f>
        <v>0</v>
      </c>
      <c r="W348" s="50">
        <f>IF($I348&gt;$P348,1,0)</f>
        <v>0</v>
      </c>
    </row>
    <row r="349" spans="1:23" x14ac:dyDescent="0.6">
      <c r="A349" s="41" t="s">
        <v>342</v>
      </c>
      <c r="B349" s="50">
        <v>100</v>
      </c>
      <c r="C349" s="51" t="s">
        <v>970</v>
      </c>
      <c r="D349" s="25" t="s">
        <v>978</v>
      </c>
      <c r="E349" s="25" t="s">
        <v>980</v>
      </c>
      <c r="F349" s="50">
        <v>8</v>
      </c>
      <c r="G349" s="50">
        <f t="shared" si="31"/>
        <v>2430</v>
      </c>
      <c r="H349" s="57">
        <v>2672</v>
      </c>
      <c r="I349" s="32">
        <v>2430</v>
      </c>
      <c r="J349" s="32">
        <v>2431.4</v>
      </c>
      <c r="K349" s="32">
        <v>10.01</v>
      </c>
      <c r="L349" s="46">
        <f t="shared" si="32"/>
        <v>9.9588477366255148</v>
      </c>
      <c r="M349" s="46">
        <f t="shared" si="33"/>
        <v>0</v>
      </c>
      <c r="N349" s="46">
        <f t="shared" si="34"/>
        <v>5.7613168724283577E-2</v>
      </c>
      <c r="O349" s="41" t="s">
        <v>1</v>
      </c>
      <c r="P349" s="50">
        <v>2444</v>
      </c>
      <c r="Q349" s="30">
        <v>2450</v>
      </c>
      <c r="R349" s="33">
        <v>38.302199280000004</v>
      </c>
      <c r="S349" s="46">
        <f t="shared" si="35"/>
        <v>0.5761316872427984</v>
      </c>
      <c r="T349" s="46">
        <f t="shared" si="36"/>
        <v>0.82304526748971196</v>
      </c>
      <c r="U349" s="50">
        <f>IF($I349&lt;$P349,1,0)</f>
        <v>1</v>
      </c>
      <c r="V349" s="50">
        <f>IF($I349=$P349,1,0)</f>
        <v>0</v>
      </c>
      <c r="W349" s="50">
        <f>IF($I349&gt;$P349,1,0)</f>
        <v>0</v>
      </c>
    </row>
    <row r="350" spans="1:23" x14ac:dyDescent="0.6">
      <c r="A350" s="41" t="s">
        <v>343</v>
      </c>
      <c r="B350" s="50">
        <v>100</v>
      </c>
      <c r="C350" s="51" t="s">
        <v>970</v>
      </c>
      <c r="D350" s="25" t="s">
        <v>978</v>
      </c>
      <c r="E350" s="25" t="s">
        <v>980</v>
      </c>
      <c r="F350" s="50">
        <v>9</v>
      </c>
      <c r="G350" s="50">
        <f t="shared" si="31"/>
        <v>2448</v>
      </c>
      <c r="H350" s="57">
        <v>2656</v>
      </c>
      <c r="I350" s="32">
        <v>2448</v>
      </c>
      <c r="J350" s="32">
        <v>2448.6</v>
      </c>
      <c r="K350" s="32">
        <v>10.01</v>
      </c>
      <c r="L350" s="46">
        <f t="shared" si="32"/>
        <v>8.4967320261437909</v>
      </c>
      <c r="M350" s="46">
        <f t="shared" si="33"/>
        <v>0</v>
      </c>
      <c r="N350" s="46">
        <f t="shared" si="34"/>
        <v>2.4509803921564915E-2</v>
      </c>
      <c r="O350" s="41" t="s">
        <v>1</v>
      </c>
      <c r="P350" s="50">
        <v>2461</v>
      </c>
      <c r="Q350" s="30">
        <v>2467</v>
      </c>
      <c r="R350" s="33">
        <v>39.034348600000001</v>
      </c>
      <c r="S350" s="46">
        <f t="shared" si="35"/>
        <v>0.53104575163398693</v>
      </c>
      <c r="T350" s="46">
        <f t="shared" si="36"/>
        <v>0.77614379084967322</v>
      </c>
      <c r="U350" s="50">
        <f>IF($I350&lt;$P350,1,0)</f>
        <v>1</v>
      </c>
      <c r="V350" s="50">
        <f>IF($I350=$P350,1,0)</f>
        <v>0</v>
      </c>
      <c r="W350" s="50">
        <f>IF($I350&gt;$P350,1,0)</f>
        <v>0</v>
      </c>
    </row>
    <row r="351" spans="1:23" x14ac:dyDescent="0.6">
      <c r="A351" s="41" t="s">
        <v>344</v>
      </c>
      <c r="B351" s="50">
        <v>100</v>
      </c>
      <c r="C351" s="51" t="s">
        <v>970</v>
      </c>
      <c r="D351" s="25" t="s">
        <v>978</v>
      </c>
      <c r="E351" s="25" t="s">
        <v>980</v>
      </c>
      <c r="F351" s="50">
        <v>10</v>
      </c>
      <c r="G351" s="50">
        <f t="shared" si="31"/>
        <v>2402</v>
      </c>
      <c r="H351" s="57">
        <v>2716</v>
      </c>
      <c r="I351" s="32">
        <v>2402</v>
      </c>
      <c r="J351" s="32">
        <v>2403</v>
      </c>
      <c r="K351" s="32">
        <v>10.01</v>
      </c>
      <c r="L351" s="46">
        <f t="shared" si="32"/>
        <v>13.072439633638636</v>
      </c>
      <c r="M351" s="46">
        <f t="shared" si="33"/>
        <v>0</v>
      </c>
      <c r="N351" s="46">
        <f t="shared" si="34"/>
        <v>4.1631973355537054E-2</v>
      </c>
      <c r="O351" s="41" t="s">
        <v>1</v>
      </c>
      <c r="P351" s="50">
        <v>2418</v>
      </c>
      <c r="Q351" s="30">
        <v>2419.8000000000002</v>
      </c>
      <c r="R351" s="33">
        <v>38.36278678</v>
      </c>
      <c r="S351" s="46">
        <f t="shared" si="35"/>
        <v>0.66611157368859286</v>
      </c>
      <c r="T351" s="46">
        <f t="shared" si="36"/>
        <v>0.74104912572856707</v>
      </c>
      <c r="U351" s="50">
        <f>IF($I351&lt;$P351,1,0)</f>
        <v>1</v>
      </c>
      <c r="V351" s="50">
        <f>IF($I351=$P351,1,0)</f>
        <v>0</v>
      </c>
      <c r="W351" s="50">
        <f>IF($I351&gt;$P351,1,0)</f>
        <v>0</v>
      </c>
    </row>
    <row r="352" spans="1:23" x14ac:dyDescent="0.6">
      <c r="A352" s="41" t="s">
        <v>345</v>
      </c>
      <c r="B352" s="50">
        <v>100</v>
      </c>
      <c r="C352" s="51" t="s">
        <v>970</v>
      </c>
      <c r="D352" s="25" t="s">
        <v>978</v>
      </c>
      <c r="E352" s="25" t="s">
        <v>984</v>
      </c>
      <c r="F352" s="50">
        <v>1</v>
      </c>
      <c r="G352" s="50">
        <f t="shared" si="31"/>
        <v>2427</v>
      </c>
      <c r="H352" s="57">
        <v>2836</v>
      </c>
      <c r="I352" s="32">
        <v>2427</v>
      </c>
      <c r="J352" s="32">
        <v>2427.8000000000002</v>
      </c>
      <c r="K352" s="32">
        <v>10</v>
      </c>
      <c r="L352" s="46">
        <f t="shared" si="32"/>
        <v>16.852080758137618</v>
      </c>
      <c r="M352" s="46">
        <f t="shared" si="33"/>
        <v>0</v>
      </c>
      <c r="N352" s="46">
        <f t="shared" si="34"/>
        <v>3.2962505150398926E-2</v>
      </c>
      <c r="O352" s="41" t="s">
        <v>1</v>
      </c>
      <c r="P352" s="50">
        <v>2441</v>
      </c>
      <c r="Q352" s="30">
        <v>2447.8000000000002</v>
      </c>
      <c r="R352" s="33">
        <v>38.12457474</v>
      </c>
      <c r="S352" s="46">
        <f t="shared" si="35"/>
        <v>0.57684384013184997</v>
      </c>
      <c r="T352" s="46">
        <f t="shared" si="36"/>
        <v>0.85702513391018464</v>
      </c>
      <c r="U352" s="50">
        <f>IF($I352&lt;$P352,1,0)</f>
        <v>1</v>
      </c>
      <c r="V352" s="50">
        <f>IF($I352=$P352,1,0)</f>
        <v>0</v>
      </c>
      <c r="W352" s="50">
        <f>IF($I352&gt;$P352,1,0)</f>
        <v>0</v>
      </c>
    </row>
    <row r="353" spans="1:23" x14ac:dyDescent="0.6">
      <c r="A353" s="41" t="s">
        <v>346</v>
      </c>
      <c r="B353" s="50">
        <v>100</v>
      </c>
      <c r="C353" s="51" t="s">
        <v>970</v>
      </c>
      <c r="D353" s="25" t="s">
        <v>978</v>
      </c>
      <c r="E353" s="25" t="s">
        <v>984</v>
      </c>
      <c r="F353" s="50">
        <v>2</v>
      </c>
      <c r="G353" s="50">
        <f t="shared" si="31"/>
        <v>2425</v>
      </c>
      <c r="H353" s="57">
        <v>2896</v>
      </c>
      <c r="I353" s="32">
        <v>2425</v>
      </c>
      <c r="J353" s="32">
        <v>2426.1999999999998</v>
      </c>
      <c r="K353" s="32">
        <v>10.01</v>
      </c>
      <c r="L353" s="46">
        <f t="shared" si="32"/>
        <v>19.422680412371136</v>
      </c>
      <c r="M353" s="46">
        <f t="shared" si="33"/>
        <v>0</v>
      </c>
      <c r="N353" s="46">
        <f t="shared" si="34"/>
        <v>4.948453608246673E-2</v>
      </c>
      <c r="O353" s="41" t="s">
        <v>1</v>
      </c>
      <c r="P353" s="50">
        <v>2438</v>
      </c>
      <c r="Q353" s="30">
        <v>2443.1999999999998</v>
      </c>
      <c r="R353" s="33">
        <v>38.513349159999997</v>
      </c>
      <c r="S353" s="46">
        <f t="shared" si="35"/>
        <v>0.53608247422680411</v>
      </c>
      <c r="T353" s="46">
        <f t="shared" si="36"/>
        <v>0.75051546391751822</v>
      </c>
      <c r="U353" s="50">
        <f>IF($I353&lt;$P353,1,0)</f>
        <v>1</v>
      </c>
      <c r="V353" s="50">
        <f>IF($I353=$P353,1,0)</f>
        <v>0</v>
      </c>
      <c r="W353" s="50">
        <f>IF($I353&gt;$P353,1,0)</f>
        <v>0</v>
      </c>
    </row>
    <row r="354" spans="1:23" x14ac:dyDescent="0.6">
      <c r="A354" s="41" t="s">
        <v>347</v>
      </c>
      <c r="B354" s="50">
        <v>100</v>
      </c>
      <c r="C354" s="51" t="s">
        <v>970</v>
      </c>
      <c r="D354" s="25" t="s">
        <v>978</v>
      </c>
      <c r="E354" s="25" t="s">
        <v>982</v>
      </c>
      <c r="F354" s="50">
        <v>3</v>
      </c>
      <c r="G354" s="50">
        <f t="shared" si="31"/>
        <v>2450</v>
      </c>
      <c r="H354" s="57">
        <v>2899</v>
      </c>
      <c r="I354" s="32">
        <v>2450</v>
      </c>
      <c r="J354" s="32">
        <v>2450.8000000000002</v>
      </c>
      <c r="K354" s="32">
        <v>10</v>
      </c>
      <c r="L354" s="46">
        <f t="shared" si="32"/>
        <v>18.326530612244898</v>
      </c>
      <c r="M354" s="46">
        <f t="shared" si="33"/>
        <v>0</v>
      </c>
      <c r="N354" s="46">
        <f t="shared" si="34"/>
        <v>3.2653061224497223E-2</v>
      </c>
      <c r="O354" s="41" t="s">
        <v>1</v>
      </c>
      <c r="P354" s="50">
        <v>2462</v>
      </c>
      <c r="Q354" s="30">
        <v>2467.1999999999998</v>
      </c>
      <c r="R354" s="33">
        <v>39.418059319999998</v>
      </c>
      <c r="S354" s="46">
        <f t="shared" si="35"/>
        <v>0.48979591836734693</v>
      </c>
      <c r="T354" s="46">
        <f t="shared" si="36"/>
        <v>0.70204081632652315</v>
      </c>
      <c r="U354" s="50">
        <f>IF($I354&lt;$P354,1,0)</f>
        <v>1</v>
      </c>
      <c r="V354" s="50">
        <f>IF($I354=$P354,1,0)</f>
        <v>0</v>
      </c>
      <c r="W354" s="50">
        <f>IF($I354&gt;$P354,1,0)</f>
        <v>0</v>
      </c>
    </row>
    <row r="355" spans="1:23" x14ac:dyDescent="0.6">
      <c r="A355" s="41" t="s">
        <v>348</v>
      </c>
      <c r="B355" s="50">
        <v>100</v>
      </c>
      <c r="C355" s="51" t="s">
        <v>970</v>
      </c>
      <c r="D355" s="25" t="s">
        <v>978</v>
      </c>
      <c r="E355" s="25" t="s">
        <v>982</v>
      </c>
      <c r="F355" s="50">
        <v>4</v>
      </c>
      <c r="G355" s="50">
        <f t="shared" si="31"/>
        <v>2435</v>
      </c>
      <c r="H355" s="57">
        <v>2683</v>
      </c>
      <c r="I355" s="32">
        <v>2435</v>
      </c>
      <c r="J355" s="32">
        <v>2435.6</v>
      </c>
      <c r="K355" s="32">
        <v>10.01</v>
      </c>
      <c r="L355" s="46">
        <f t="shared" si="32"/>
        <v>10.184804928131417</v>
      </c>
      <c r="M355" s="46">
        <f t="shared" si="33"/>
        <v>0</v>
      </c>
      <c r="N355" s="46">
        <f t="shared" si="34"/>
        <v>2.4640657084185176E-2</v>
      </c>
      <c r="O355" s="41" t="s">
        <v>1</v>
      </c>
      <c r="P355" s="50">
        <v>2445</v>
      </c>
      <c r="Q355" s="30">
        <v>2451</v>
      </c>
      <c r="R355" s="33">
        <v>38.790741959999998</v>
      </c>
      <c r="S355" s="46">
        <f t="shared" si="35"/>
        <v>0.41067761806981523</v>
      </c>
      <c r="T355" s="46">
        <f t="shared" si="36"/>
        <v>0.65708418891170428</v>
      </c>
      <c r="U355" s="50">
        <f>IF($I355&lt;$P355,1,0)</f>
        <v>1</v>
      </c>
      <c r="V355" s="50">
        <f>IF($I355=$P355,1,0)</f>
        <v>0</v>
      </c>
      <c r="W355" s="50">
        <f>IF($I355&gt;$P355,1,0)</f>
        <v>0</v>
      </c>
    </row>
    <row r="356" spans="1:23" x14ac:dyDescent="0.6">
      <c r="A356" s="41" t="s">
        <v>349</v>
      </c>
      <c r="B356" s="50">
        <v>100</v>
      </c>
      <c r="C356" s="51" t="s">
        <v>970</v>
      </c>
      <c r="D356" s="25" t="s">
        <v>978</v>
      </c>
      <c r="E356" s="25" t="s">
        <v>982</v>
      </c>
      <c r="F356" s="50">
        <v>5</v>
      </c>
      <c r="G356" s="50">
        <f t="shared" si="31"/>
        <v>2414</v>
      </c>
      <c r="H356" s="57">
        <v>2850</v>
      </c>
      <c r="I356" s="32">
        <v>2414</v>
      </c>
      <c r="J356" s="32">
        <v>2414.8000000000002</v>
      </c>
      <c r="K356" s="32">
        <v>10.01</v>
      </c>
      <c r="L356" s="46">
        <f t="shared" si="32"/>
        <v>18.061309030654517</v>
      </c>
      <c r="M356" s="46">
        <f t="shared" si="33"/>
        <v>0</v>
      </c>
      <c r="N356" s="46">
        <f t="shared" si="34"/>
        <v>3.3140016570015821E-2</v>
      </c>
      <c r="O356" s="41" t="s">
        <v>1</v>
      </c>
      <c r="P356" s="50">
        <v>2425</v>
      </c>
      <c r="Q356" s="30">
        <v>2431.8000000000002</v>
      </c>
      <c r="R356" s="33">
        <v>39.60562728</v>
      </c>
      <c r="S356" s="46">
        <f t="shared" si="35"/>
        <v>0.45567522783761388</v>
      </c>
      <c r="T356" s="46">
        <f t="shared" si="36"/>
        <v>0.73736536868269187</v>
      </c>
      <c r="U356" s="50">
        <f>IF($I356&lt;$P356,1,0)</f>
        <v>1</v>
      </c>
      <c r="V356" s="50">
        <f>IF($I356=$P356,1,0)</f>
        <v>0</v>
      </c>
      <c r="W356" s="50">
        <f>IF($I356&gt;$P356,1,0)</f>
        <v>0</v>
      </c>
    </row>
    <row r="357" spans="1:23" x14ac:dyDescent="0.6">
      <c r="A357" s="41" t="s">
        <v>350</v>
      </c>
      <c r="B357" s="50">
        <v>100</v>
      </c>
      <c r="C357" s="51" t="s">
        <v>970</v>
      </c>
      <c r="D357" s="25" t="s">
        <v>978</v>
      </c>
      <c r="E357" s="25" t="s">
        <v>982</v>
      </c>
      <c r="F357" s="50">
        <v>6</v>
      </c>
      <c r="G357" s="50">
        <f t="shared" si="31"/>
        <v>2440</v>
      </c>
      <c r="H357" s="57">
        <v>2857</v>
      </c>
      <c r="I357" s="32">
        <v>2440</v>
      </c>
      <c r="J357" s="32">
        <v>2441</v>
      </c>
      <c r="K357" s="32">
        <v>10.01</v>
      </c>
      <c r="L357" s="46">
        <f t="shared" si="32"/>
        <v>17.090163934426229</v>
      </c>
      <c r="M357" s="46">
        <f t="shared" si="33"/>
        <v>0</v>
      </c>
      <c r="N357" s="46">
        <f t="shared" si="34"/>
        <v>4.0983606557377046E-2</v>
      </c>
      <c r="O357" s="41" t="s">
        <v>1</v>
      </c>
      <c r="P357" s="50">
        <v>2456</v>
      </c>
      <c r="Q357" s="30">
        <v>2460.6</v>
      </c>
      <c r="R357" s="33">
        <v>39.534684200000001</v>
      </c>
      <c r="S357" s="46">
        <f t="shared" si="35"/>
        <v>0.65573770491803274</v>
      </c>
      <c r="T357" s="46">
        <f t="shared" si="36"/>
        <v>0.84426229508196349</v>
      </c>
      <c r="U357" s="50">
        <f>IF($I357&lt;$P357,1,0)</f>
        <v>1</v>
      </c>
      <c r="V357" s="50">
        <f>IF($I357=$P357,1,0)</f>
        <v>0</v>
      </c>
      <c r="W357" s="50">
        <f>IF($I357&gt;$P357,1,0)</f>
        <v>0</v>
      </c>
    </row>
    <row r="358" spans="1:23" x14ac:dyDescent="0.6">
      <c r="A358" s="41" t="s">
        <v>351</v>
      </c>
      <c r="B358" s="50">
        <v>100</v>
      </c>
      <c r="C358" s="51" t="s">
        <v>970</v>
      </c>
      <c r="D358" s="25" t="s">
        <v>978</v>
      </c>
      <c r="E358" s="25" t="s">
        <v>982</v>
      </c>
      <c r="F358" s="50">
        <v>7</v>
      </c>
      <c r="G358" s="50">
        <f t="shared" si="31"/>
        <v>2430</v>
      </c>
      <c r="H358" s="57">
        <v>2777</v>
      </c>
      <c r="I358" s="32">
        <v>2430</v>
      </c>
      <c r="J358" s="32">
        <v>2430.1999999999998</v>
      </c>
      <c r="K358" s="32">
        <v>10.01</v>
      </c>
      <c r="L358" s="46">
        <f t="shared" si="32"/>
        <v>14.279835390946502</v>
      </c>
      <c r="M358" s="46">
        <f t="shared" si="33"/>
        <v>0</v>
      </c>
      <c r="N358" s="46">
        <f t="shared" si="34"/>
        <v>8.230452674889633E-3</v>
      </c>
      <c r="O358" s="41" t="s">
        <v>1</v>
      </c>
      <c r="P358" s="50">
        <v>2440</v>
      </c>
      <c r="Q358" s="30">
        <v>2448.1999999999998</v>
      </c>
      <c r="R358" s="33">
        <v>39.17021098</v>
      </c>
      <c r="S358" s="46">
        <f t="shared" si="35"/>
        <v>0.41152263374485598</v>
      </c>
      <c r="T358" s="46">
        <f t="shared" si="36"/>
        <v>0.74897119341563045</v>
      </c>
      <c r="U358" s="50">
        <f>IF($I358&lt;$P358,1,0)</f>
        <v>1</v>
      </c>
      <c r="V358" s="50">
        <f>IF($I358=$P358,1,0)</f>
        <v>0</v>
      </c>
      <c r="W358" s="50">
        <f>IF($I358&gt;$P358,1,0)</f>
        <v>0</v>
      </c>
    </row>
    <row r="359" spans="1:23" x14ac:dyDescent="0.6">
      <c r="A359" s="41" t="s">
        <v>352</v>
      </c>
      <c r="B359" s="50">
        <v>100</v>
      </c>
      <c r="C359" s="51" t="s">
        <v>970</v>
      </c>
      <c r="D359" s="25" t="s">
        <v>978</v>
      </c>
      <c r="E359" s="25" t="s">
        <v>982</v>
      </c>
      <c r="F359" s="50">
        <v>8</v>
      </c>
      <c r="G359" s="50">
        <f t="shared" si="31"/>
        <v>2429</v>
      </c>
      <c r="H359" s="57">
        <v>2916</v>
      </c>
      <c r="I359" s="32">
        <v>2429</v>
      </c>
      <c r="J359" s="32">
        <v>2430.6</v>
      </c>
      <c r="K359" s="32">
        <v>10.01</v>
      </c>
      <c r="L359" s="46">
        <f t="shared" si="32"/>
        <v>20.049403046521203</v>
      </c>
      <c r="M359" s="46">
        <f t="shared" si="33"/>
        <v>0</v>
      </c>
      <c r="N359" s="46">
        <f t="shared" si="34"/>
        <v>6.5870728694932448E-2</v>
      </c>
      <c r="O359" s="41" t="s">
        <v>1</v>
      </c>
      <c r="P359" s="50">
        <v>2453</v>
      </c>
      <c r="Q359" s="30">
        <v>2454.1999999999998</v>
      </c>
      <c r="R359" s="33">
        <v>38.233596140000003</v>
      </c>
      <c r="S359" s="46">
        <f t="shared" si="35"/>
        <v>0.98806093042404286</v>
      </c>
      <c r="T359" s="46">
        <f t="shared" si="36"/>
        <v>1.0374639769452374</v>
      </c>
      <c r="U359" s="50">
        <f>IF($I359&lt;$P359,1,0)</f>
        <v>1</v>
      </c>
      <c r="V359" s="50">
        <f>IF($I359=$P359,1,0)</f>
        <v>0</v>
      </c>
      <c r="W359" s="50">
        <f>IF($I359&gt;$P359,1,0)</f>
        <v>0</v>
      </c>
    </row>
    <row r="360" spans="1:23" x14ac:dyDescent="0.6">
      <c r="A360" s="41" t="s">
        <v>353</v>
      </c>
      <c r="B360" s="50">
        <v>100</v>
      </c>
      <c r="C360" s="51" t="s">
        <v>970</v>
      </c>
      <c r="D360" s="25" t="s">
        <v>978</v>
      </c>
      <c r="E360" s="25" t="s">
        <v>982</v>
      </c>
      <c r="F360" s="50">
        <v>9</v>
      </c>
      <c r="G360" s="50">
        <f t="shared" si="31"/>
        <v>2448</v>
      </c>
      <c r="H360" s="57">
        <v>2833</v>
      </c>
      <c r="I360" s="32">
        <v>2448</v>
      </c>
      <c r="J360" s="32">
        <v>2449</v>
      </c>
      <c r="K360" s="32">
        <v>10</v>
      </c>
      <c r="L360" s="46">
        <f t="shared" si="32"/>
        <v>15.727124183006536</v>
      </c>
      <c r="M360" s="46">
        <f t="shared" si="33"/>
        <v>0</v>
      </c>
      <c r="N360" s="46">
        <f t="shared" si="34"/>
        <v>4.084967320261438E-2</v>
      </c>
      <c r="O360" s="41" t="s">
        <v>1</v>
      </c>
      <c r="P360" s="50">
        <v>2463</v>
      </c>
      <c r="Q360" s="30">
        <v>2468</v>
      </c>
      <c r="R360" s="33">
        <v>39.44869388</v>
      </c>
      <c r="S360" s="46">
        <f t="shared" si="35"/>
        <v>0.61274509803921573</v>
      </c>
      <c r="T360" s="46">
        <f t="shared" si="36"/>
        <v>0.81699346405228768</v>
      </c>
      <c r="U360" s="50">
        <f>IF($I360&lt;$P360,1,0)</f>
        <v>1</v>
      </c>
      <c r="V360" s="50">
        <f>IF($I360=$P360,1,0)</f>
        <v>0</v>
      </c>
      <c r="W360" s="50">
        <f>IF($I360&gt;$P360,1,0)</f>
        <v>0</v>
      </c>
    </row>
    <row r="361" spans="1:23" x14ac:dyDescent="0.6">
      <c r="A361" s="41" t="s">
        <v>354</v>
      </c>
      <c r="B361" s="50">
        <v>100</v>
      </c>
      <c r="C361" s="51" t="s">
        <v>970</v>
      </c>
      <c r="D361" s="25" t="s">
        <v>978</v>
      </c>
      <c r="E361" s="25" t="s">
        <v>982</v>
      </c>
      <c r="F361" s="50">
        <v>10</v>
      </c>
      <c r="G361" s="50">
        <f t="shared" si="31"/>
        <v>2401</v>
      </c>
      <c r="H361" s="57">
        <v>3025</v>
      </c>
      <c r="I361" s="32">
        <v>2401</v>
      </c>
      <c r="J361" s="32">
        <v>2402.4</v>
      </c>
      <c r="K361" s="32">
        <v>10.01</v>
      </c>
      <c r="L361" s="46">
        <f t="shared" si="32"/>
        <v>25.989171178675551</v>
      </c>
      <c r="M361" s="46">
        <f t="shared" si="33"/>
        <v>0</v>
      </c>
      <c r="N361" s="46">
        <f t="shared" si="34"/>
        <v>5.8309037900878422E-2</v>
      </c>
      <c r="O361" s="41" t="s">
        <v>1</v>
      </c>
      <c r="P361" s="50">
        <v>2413</v>
      </c>
      <c r="Q361" s="30">
        <v>2419</v>
      </c>
      <c r="R361" s="33">
        <v>38.505191799999999</v>
      </c>
      <c r="S361" s="46">
        <f t="shared" si="35"/>
        <v>0.49979175343606835</v>
      </c>
      <c r="T361" s="46">
        <f t="shared" si="36"/>
        <v>0.74968763015410245</v>
      </c>
      <c r="U361" s="50">
        <f>IF($I361&lt;$P361,1,0)</f>
        <v>1</v>
      </c>
      <c r="V361" s="50">
        <f>IF($I361=$P361,1,0)</f>
        <v>0</v>
      </c>
      <c r="W361" s="50">
        <f>IF($I361&gt;$P361,1,0)</f>
        <v>0</v>
      </c>
    </row>
    <row r="362" spans="1:23" x14ac:dyDescent="0.6">
      <c r="A362" s="41" t="s">
        <v>355</v>
      </c>
      <c r="B362" s="50">
        <v>100</v>
      </c>
      <c r="C362" s="25" t="s">
        <v>974</v>
      </c>
      <c r="D362" s="25" t="s">
        <v>977</v>
      </c>
      <c r="E362" s="25" t="s">
        <v>981</v>
      </c>
      <c r="F362" s="50">
        <v>1</v>
      </c>
      <c r="G362" s="50">
        <f t="shared" si="31"/>
        <v>2930</v>
      </c>
      <c r="H362" s="57">
        <v>3174</v>
      </c>
      <c r="I362" s="32">
        <v>2930</v>
      </c>
      <c r="J362" s="32">
        <v>2931.6</v>
      </c>
      <c r="K362" s="32">
        <v>10.01</v>
      </c>
      <c r="L362" s="46">
        <f t="shared" si="32"/>
        <v>8.3276450511945388</v>
      </c>
      <c r="M362" s="46">
        <f t="shared" si="33"/>
        <v>0</v>
      </c>
      <c r="N362" s="46">
        <f t="shared" si="34"/>
        <v>5.4607508532420107E-2</v>
      </c>
      <c r="O362" s="41" t="s">
        <v>1</v>
      </c>
      <c r="P362" s="50">
        <v>2947</v>
      </c>
      <c r="Q362" s="30">
        <v>2951.4</v>
      </c>
      <c r="R362" s="33">
        <v>37.791331219999996</v>
      </c>
      <c r="S362" s="46">
        <f t="shared" si="35"/>
        <v>0.58020477815699656</v>
      </c>
      <c r="T362" s="46">
        <f t="shared" si="36"/>
        <v>0.7303754266211635</v>
      </c>
      <c r="U362" s="50">
        <f>IF($I362&lt;$P362,1,0)</f>
        <v>1</v>
      </c>
      <c r="V362" s="50">
        <f>IF($I362=$P362,1,0)</f>
        <v>0</v>
      </c>
      <c r="W362" s="50">
        <f>IF($I362&gt;$P362,1,0)</f>
        <v>0</v>
      </c>
    </row>
    <row r="363" spans="1:23" x14ac:dyDescent="0.6">
      <c r="A363" s="41" t="s">
        <v>356</v>
      </c>
      <c r="B363" s="50">
        <v>100</v>
      </c>
      <c r="C363" s="25" t="s">
        <v>974</v>
      </c>
      <c r="D363" s="25" t="s">
        <v>977</v>
      </c>
      <c r="E363" s="25" t="s">
        <v>983</v>
      </c>
      <c r="F363" s="50">
        <v>2</v>
      </c>
      <c r="G363" s="50">
        <f t="shared" si="31"/>
        <v>2929</v>
      </c>
      <c r="H363" s="57">
        <v>3202</v>
      </c>
      <c r="I363" s="32">
        <v>2929</v>
      </c>
      <c r="J363" s="32">
        <v>2929.8</v>
      </c>
      <c r="K363" s="32">
        <v>10.01</v>
      </c>
      <c r="L363" s="46">
        <f t="shared" si="32"/>
        <v>9.3205872311369067</v>
      </c>
      <c r="M363" s="46">
        <f t="shared" si="33"/>
        <v>0</v>
      </c>
      <c r="N363" s="46">
        <f t="shared" si="34"/>
        <v>2.7313076135205935E-2</v>
      </c>
      <c r="O363" s="41" t="s">
        <v>1</v>
      </c>
      <c r="P363" s="50">
        <v>2945</v>
      </c>
      <c r="Q363" s="30">
        <v>2947.6</v>
      </c>
      <c r="R363" s="33">
        <v>38.144779139999997</v>
      </c>
      <c r="S363" s="46">
        <f t="shared" si="35"/>
        <v>0.54626152270399453</v>
      </c>
      <c r="T363" s="46">
        <f t="shared" si="36"/>
        <v>0.63502902014339058</v>
      </c>
      <c r="U363" s="50">
        <f>IF($I363&lt;$P363,1,0)</f>
        <v>1</v>
      </c>
      <c r="V363" s="50">
        <f>IF($I363=$P363,1,0)</f>
        <v>0</v>
      </c>
      <c r="W363" s="50">
        <f>IF($I363&gt;$P363,1,0)</f>
        <v>0</v>
      </c>
    </row>
    <row r="364" spans="1:23" x14ac:dyDescent="0.6">
      <c r="A364" s="41" t="s">
        <v>357</v>
      </c>
      <c r="B364" s="50">
        <v>100</v>
      </c>
      <c r="C364" s="25" t="s">
        <v>973</v>
      </c>
      <c r="D364" s="25" t="s">
        <v>976</v>
      </c>
      <c r="E364" s="25" t="s">
        <v>980</v>
      </c>
      <c r="F364" s="50">
        <v>3</v>
      </c>
      <c r="G364" s="50">
        <f t="shared" si="31"/>
        <v>2953</v>
      </c>
      <c r="H364" s="57">
        <v>3240</v>
      </c>
      <c r="I364" s="32">
        <v>2953</v>
      </c>
      <c r="J364" s="32">
        <v>2954.8</v>
      </c>
      <c r="K364" s="32">
        <v>10</v>
      </c>
      <c r="L364" s="46">
        <f t="shared" si="32"/>
        <v>9.7189299017947839</v>
      </c>
      <c r="M364" s="46">
        <f t="shared" si="33"/>
        <v>0</v>
      </c>
      <c r="N364" s="46">
        <f t="shared" si="34"/>
        <v>6.0954961056558815E-2</v>
      </c>
      <c r="O364" s="41" t="s">
        <v>1</v>
      </c>
      <c r="P364" s="50">
        <v>2967</v>
      </c>
      <c r="Q364" s="30">
        <v>2975.4</v>
      </c>
      <c r="R364" s="33">
        <v>38.999717740000001</v>
      </c>
      <c r="S364" s="46">
        <f t="shared" si="35"/>
        <v>0.47409414155096513</v>
      </c>
      <c r="T364" s="46">
        <f t="shared" si="36"/>
        <v>0.75855062648154725</v>
      </c>
      <c r="U364" s="50">
        <f>IF($I364&lt;$P364,1,0)</f>
        <v>1</v>
      </c>
      <c r="V364" s="50">
        <f>IF($I364=$P364,1,0)</f>
        <v>0</v>
      </c>
      <c r="W364" s="50">
        <f>IF($I364&gt;$P364,1,0)</f>
        <v>0</v>
      </c>
    </row>
    <row r="365" spans="1:23" x14ac:dyDescent="0.6">
      <c r="A365" s="41" t="s">
        <v>358</v>
      </c>
      <c r="B365" s="50">
        <v>100</v>
      </c>
      <c r="C365" s="25" t="s">
        <v>973</v>
      </c>
      <c r="D365" s="25" t="s">
        <v>976</v>
      </c>
      <c r="E365" s="25" t="s">
        <v>980</v>
      </c>
      <c r="F365" s="50">
        <v>4</v>
      </c>
      <c r="G365" s="50">
        <f t="shared" si="31"/>
        <v>2938</v>
      </c>
      <c r="H365" s="57">
        <v>3099</v>
      </c>
      <c r="I365" s="32">
        <v>2938</v>
      </c>
      <c r="J365" s="32">
        <v>2939.8</v>
      </c>
      <c r="K365" s="32">
        <v>10.01</v>
      </c>
      <c r="L365" s="46">
        <f t="shared" si="32"/>
        <v>5.4799183117767187</v>
      </c>
      <c r="M365" s="46">
        <f t="shared" si="33"/>
        <v>0</v>
      </c>
      <c r="N365" s="46">
        <f t="shared" si="34"/>
        <v>6.1266167460863913E-2</v>
      </c>
      <c r="O365" s="41" t="s">
        <v>1</v>
      </c>
      <c r="P365" s="50">
        <v>2954</v>
      </c>
      <c r="Q365" s="30">
        <v>2959.2</v>
      </c>
      <c r="R365" s="33">
        <v>37.788042259999997</v>
      </c>
      <c r="S365" s="46">
        <f t="shared" si="35"/>
        <v>0.54458815520762416</v>
      </c>
      <c r="T365" s="46">
        <f t="shared" si="36"/>
        <v>0.72157930565009587</v>
      </c>
      <c r="U365" s="50">
        <f>IF($I365&lt;$P365,1,0)</f>
        <v>1</v>
      </c>
      <c r="V365" s="50">
        <f>IF($I365=$P365,1,0)</f>
        <v>0</v>
      </c>
      <c r="W365" s="50">
        <f>IF($I365&gt;$P365,1,0)</f>
        <v>0</v>
      </c>
    </row>
    <row r="366" spans="1:23" x14ac:dyDescent="0.6">
      <c r="A366" s="41" t="s">
        <v>359</v>
      </c>
      <c r="B366" s="50">
        <v>100</v>
      </c>
      <c r="C366" s="25" t="s">
        <v>973</v>
      </c>
      <c r="D366" s="25" t="s">
        <v>976</v>
      </c>
      <c r="E366" s="25" t="s">
        <v>980</v>
      </c>
      <c r="F366" s="50">
        <v>5</v>
      </c>
      <c r="G366" s="50">
        <f t="shared" si="31"/>
        <v>2918</v>
      </c>
      <c r="H366" s="57">
        <v>3177</v>
      </c>
      <c r="I366" s="32">
        <v>2918</v>
      </c>
      <c r="J366" s="32">
        <v>2919</v>
      </c>
      <c r="K366" s="32">
        <v>10.01</v>
      </c>
      <c r="L366" s="46">
        <f t="shared" si="32"/>
        <v>8.8759424263193978</v>
      </c>
      <c r="M366" s="46">
        <f t="shared" si="33"/>
        <v>0</v>
      </c>
      <c r="N366" s="46">
        <f t="shared" si="34"/>
        <v>3.4270047978067174E-2</v>
      </c>
      <c r="O366" s="41" t="s">
        <v>1</v>
      </c>
      <c r="P366" s="50">
        <v>2931</v>
      </c>
      <c r="Q366" s="30">
        <v>2936</v>
      </c>
      <c r="R366" s="33">
        <v>38.507136299999999</v>
      </c>
      <c r="S366" s="46">
        <f t="shared" si="35"/>
        <v>0.44551062371487327</v>
      </c>
      <c r="T366" s="46">
        <f t="shared" si="36"/>
        <v>0.61686086360520898</v>
      </c>
      <c r="U366" s="50">
        <f>IF($I366&lt;$P366,1,0)</f>
        <v>1</v>
      </c>
      <c r="V366" s="50">
        <f>IF($I366=$P366,1,0)</f>
        <v>0</v>
      </c>
      <c r="W366" s="50">
        <f>IF($I366&gt;$P366,1,0)</f>
        <v>0</v>
      </c>
    </row>
    <row r="367" spans="1:23" x14ac:dyDescent="0.6">
      <c r="A367" s="41" t="s">
        <v>360</v>
      </c>
      <c r="B367" s="50">
        <v>100</v>
      </c>
      <c r="C367" s="25" t="s">
        <v>973</v>
      </c>
      <c r="D367" s="25" t="s">
        <v>976</v>
      </c>
      <c r="E367" s="25" t="s">
        <v>980</v>
      </c>
      <c r="F367" s="50">
        <v>6</v>
      </c>
      <c r="G367" s="50">
        <f t="shared" si="31"/>
        <v>2945</v>
      </c>
      <c r="H367" s="57">
        <v>3194</v>
      </c>
      <c r="I367" s="32">
        <v>2945</v>
      </c>
      <c r="J367" s="32">
        <v>2945.8</v>
      </c>
      <c r="K367" s="32">
        <v>10.01</v>
      </c>
      <c r="L367" s="46">
        <f t="shared" si="32"/>
        <v>8.4550084889643475</v>
      </c>
      <c r="M367" s="46">
        <f t="shared" si="33"/>
        <v>0</v>
      </c>
      <c r="N367" s="46">
        <f t="shared" si="34"/>
        <v>2.716468590832536E-2</v>
      </c>
      <c r="O367" s="41" t="s">
        <v>1</v>
      </c>
      <c r="P367" s="50">
        <v>2960</v>
      </c>
      <c r="Q367" s="30">
        <v>2965</v>
      </c>
      <c r="R367" s="33">
        <v>38.022976440000001</v>
      </c>
      <c r="S367" s="46">
        <f t="shared" si="35"/>
        <v>0.50933786078098475</v>
      </c>
      <c r="T367" s="46">
        <f t="shared" si="36"/>
        <v>0.6791171477079796</v>
      </c>
      <c r="U367" s="50">
        <f>IF($I367&lt;$P367,1,0)</f>
        <v>1</v>
      </c>
      <c r="V367" s="50">
        <f>IF($I367=$P367,1,0)</f>
        <v>0</v>
      </c>
      <c r="W367" s="50">
        <f>IF($I367&gt;$P367,1,0)</f>
        <v>0</v>
      </c>
    </row>
    <row r="368" spans="1:23" x14ac:dyDescent="0.6">
      <c r="A368" s="41" t="s">
        <v>361</v>
      </c>
      <c r="B368" s="50">
        <v>100</v>
      </c>
      <c r="C368" s="25" t="s">
        <v>973</v>
      </c>
      <c r="D368" s="25" t="s">
        <v>976</v>
      </c>
      <c r="E368" s="25" t="s">
        <v>980</v>
      </c>
      <c r="F368" s="50">
        <v>7</v>
      </c>
      <c r="G368" s="50">
        <f t="shared" si="31"/>
        <v>2933</v>
      </c>
      <c r="H368" s="57">
        <v>3143</v>
      </c>
      <c r="I368" s="32">
        <v>2933</v>
      </c>
      <c r="J368" s="32">
        <v>2935.4</v>
      </c>
      <c r="K368" s="32">
        <v>10.01</v>
      </c>
      <c r="L368" s="46">
        <f t="shared" si="32"/>
        <v>7.1599045346062056</v>
      </c>
      <c r="M368" s="46">
        <f t="shared" si="33"/>
        <v>0</v>
      </c>
      <c r="N368" s="46">
        <f t="shared" si="34"/>
        <v>8.1827480395502597E-2</v>
      </c>
      <c r="O368" s="41" t="s">
        <v>1</v>
      </c>
      <c r="P368" s="50">
        <v>2953</v>
      </c>
      <c r="Q368" s="30">
        <v>2955.8</v>
      </c>
      <c r="R368" s="33">
        <v>37.973121259999999</v>
      </c>
      <c r="S368" s="46">
        <f t="shared" si="35"/>
        <v>0.68189566996249573</v>
      </c>
      <c r="T368" s="46">
        <f t="shared" si="36"/>
        <v>0.77736106375725134</v>
      </c>
      <c r="U368" s="50">
        <f>IF($I368&lt;$P368,1,0)</f>
        <v>1</v>
      </c>
      <c r="V368" s="50">
        <f>IF($I368=$P368,1,0)</f>
        <v>0</v>
      </c>
      <c r="W368" s="50">
        <f>IF($I368&gt;$P368,1,0)</f>
        <v>0</v>
      </c>
    </row>
    <row r="369" spans="1:23" x14ac:dyDescent="0.6">
      <c r="A369" s="41" t="s">
        <v>362</v>
      </c>
      <c r="B369" s="50">
        <v>100</v>
      </c>
      <c r="C369" s="25" t="s">
        <v>973</v>
      </c>
      <c r="D369" s="25" t="s">
        <v>976</v>
      </c>
      <c r="E369" s="25" t="s">
        <v>980</v>
      </c>
      <c r="F369" s="50">
        <v>8</v>
      </c>
      <c r="G369" s="50">
        <f t="shared" si="31"/>
        <v>2935</v>
      </c>
      <c r="H369" s="57">
        <v>3232</v>
      </c>
      <c r="I369" s="32">
        <v>2935</v>
      </c>
      <c r="J369" s="32">
        <v>2936</v>
      </c>
      <c r="K369" s="32">
        <v>10.01</v>
      </c>
      <c r="L369" s="46">
        <f t="shared" si="32"/>
        <v>10.119250425894379</v>
      </c>
      <c r="M369" s="46">
        <f t="shared" si="33"/>
        <v>0</v>
      </c>
      <c r="N369" s="46">
        <f t="shared" si="34"/>
        <v>3.4071550255536626E-2</v>
      </c>
      <c r="O369" s="41" t="s">
        <v>1</v>
      </c>
      <c r="P369" s="50">
        <v>2950</v>
      </c>
      <c r="Q369" s="30">
        <v>2955</v>
      </c>
      <c r="R369" s="33">
        <v>38.530270299999998</v>
      </c>
      <c r="S369" s="46">
        <f t="shared" si="35"/>
        <v>0.51107325383304936</v>
      </c>
      <c r="T369" s="46">
        <f t="shared" si="36"/>
        <v>0.68143100511073251</v>
      </c>
      <c r="U369" s="50">
        <f>IF($I369&lt;$P369,1,0)</f>
        <v>1</v>
      </c>
      <c r="V369" s="50">
        <f>IF($I369=$P369,1,0)</f>
        <v>0</v>
      </c>
      <c r="W369" s="50">
        <f>IF($I369&gt;$P369,1,0)</f>
        <v>0</v>
      </c>
    </row>
    <row r="370" spans="1:23" x14ac:dyDescent="0.6">
      <c r="A370" s="41" t="s">
        <v>363</v>
      </c>
      <c r="B370" s="50">
        <v>100</v>
      </c>
      <c r="C370" s="25" t="s">
        <v>973</v>
      </c>
      <c r="D370" s="25" t="s">
        <v>976</v>
      </c>
      <c r="E370" s="25" t="s">
        <v>980</v>
      </c>
      <c r="F370" s="50">
        <v>9</v>
      </c>
      <c r="G370" s="50">
        <f t="shared" si="31"/>
        <v>2953</v>
      </c>
      <c r="H370" s="57">
        <v>3201</v>
      </c>
      <c r="I370" s="32">
        <v>2953</v>
      </c>
      <c r="J370" s="32">
        <v>2953.6</v>
      </c>
      <c r="K370" s="32">
        <v>10.01</v>
      </c>
      <c r="L370" s="46">
        <f t="shared" si="32"/>
        <v>8.3982390789028116</v>
      </c>
      <c r="M370" s="46">
        <f t="shared" si="33"/>
        <v>0</v>
      </c>
      <c r="N370" s="46">
        <f t="shared" si="34"/>
        <v>2.0318320352181139E-2</v>
      </c>
      <c r="O370" s="41" t="s">
        <v>1</v>
      </c>
      <c r="P370" s="50">
        <v>2969</v>
      </c>
      <c r="Q370" s="30">
        <v>2972.2</v>
      </c>
      <c r="R370" s="33">
        <v>38.688402119999999</v>
      </c>
      <c r="S370" s="46">
        <f t="shared" si="35"/>
        <v>0.54182187605824583</v>
      </c>
      <c r="T370" s="46">
        <f t="shared" si="36"/>
        <v>0.65018625126988883</v>
      </c>
      <c r="U370" s="50">
        <f>IF($I370&lt;$P370,1,0)</f>
        <v>1</v>
      </c>
      <c r="V370" s="50">
        <f>IF($I370=$P370,1,0)</f>
        <v>0</v>
      </c>
      <c r="W370" s="50">
        <f>IF($I370&gt;$P370,1,0)</f>
        <v>0</v>
      </c>
    </row>
    <row r="371" spans="1:23" x14ac:dyDescent="0.6">
      <c r="A371" s="41" t="s">
        <v>364</v>
      </c>
      <c r="B371" s="50">
        <v>100</v>
      </c>
      <c r="C371" s="25" t="s">
        <v>973</v>
      </c>
      <c r="D371" s="25" t="s">
        <v>976</v>
      </c>
      <c r="E371" s="25" t="s">
        <v>980</v>
      </c>
      <c r="F371" s="50">
        <v>10</v>
      </c>
      <c r="G371" s="50">
        <f t="shared" si="31"/>
        <v>2907</v>
      </c>
      <c r="H371" s="57">
        <v>3296</v>
      </c>
      <c r="I371" s="32">
        <v>2907</v>
      </c>
      <c r="J371" s="32">
        <v>2907</v>
      </c>
      <c r="K371" s="32">
        <v>10.01</v>
      </c>
      <c r="L371" s="46">
        <f t="shared" si="32"/>
        <v>13.381492948056414</v>
      </c>
      <c r="M371" s="46">
        <f t="shared" si="33"/>
        <v>0</v>
      </c>
      <c r="N371" s="46">
        <f t="shared" si="34"/>
        <v>0</v>
      </c>
      <c r="O371" s="41" t="s">
        <v>1</v>
      </c>
      <c r="P371" s="50">
        <v>2924</v>
      </c>
      <c r="Q371" s="30">
        <v>2926.6</v>
      </c>
      <c r="R371" s="33">
        <v>37.71996042</v>
      </c>
      <c r="S371" s="46">
        <f t="shared" si="35"/>
        <v>0.58479532163742687</v>
      </c>
      <c r="T371" s="46">
        <f t="shared" si="36"/>
        <v>0.67423460612314789</v>
      </c>
      <c r="U371" s="50">
        <f>IF($I371&lt;$P371,1,0)</f>
        <v>1</v>
      </c>
      <c r="V371" s="50">
        <f>IF($I371=$P371,1,0)</f>
        <v>0</v>
      </c>
      <c r="W371" s="50">
        <f>IF($I371&gt;$P371,1,0)</f>
        <v>0</v>
      </c>
    </row>
    <row r="372" spans="1:23" x14ac:dyDescent="0.6">
      <c r="A372" s="41" t="s">
        <v>365</v>
      </c>
      <c r="B372" s="50">
        <v>100</v>
      </c>
      <c r="C372" s="25" t="s">
        <v>973</v>
      </c>
      <c r="D372" s="25" t="s">
        <v>976</v>
      </c>
      <c r="E372" s="25" t="s">
        <v>984</v>
      </c>
      <c r="F372" s="50">
        <v>1</v>
      </c>
      <c r="G372" s="50">
        <f t="shared" si="31"/>
        <v>2931</v>
      </c>
      <c r="H372" s="57">
        <v>3386</v>
      </c>
      <c r="I372" s="32">
        <v>2931</v>
      </c>
      <c r="J372" s="32">
        <v>2932.2</v>
      </c>
      <c r="K372" s="32">
        <v>10.01</v>
      </c>
      <c r="L372" s="46">
        <f t="shared" si="32"/>
        <v>15.5237120436711</v>
      </c>
      <c r="M372" s="46">
        <f t="shared" si="33"/>
        <v>0</v>
      </c>
      <c r="N372" s="46">
        <f t="shared" si="34"/>
        <v>4.0941658137148347E-2</v>
      </c>
      <c r="O372" s="41" t="s">
        <v>1</v>
      </c>
      <c r="P372" s="50">
        <v>2949</v>
      </c>
      <c r="Q372" s="30">
        <v>2951.4</v>
      </c>
      <c r="R372" s="33">
        <v>38.980068000000003</v>
      </c>
      <c r="S372" s="46">
        <f t="shared" si="35"/>
        <v>0.61412487205731825</v>
      </c>
      <c r="T372" s="46">
        <f t="shared" si="36"/>
        <v>0.69600818833163058</v>
      </c>
      <c r="U372" s="50">
        <f>IF($I372&lt;$P372,1,0)</f>
        <v>1</v>
      </c>
      <c r="V372" s="50">
        <f>IF($I372=$P372,1,0)</f>
        <v>0</v>
      </c>
      <c r="W372" s="50">
        <f>IF($I372&gt;$P372,1,0)</f>
        <v>0</v>
      </c>
    </row>
    <row r="373" spans="1:23" x14ac:dyDescent="0.6">
      <c r="A373" s="41" t="s">
        <v>366</v>
      </c>
      <c r="B373" s="50">
        <v>100</v>
      </c>
      <c r="C373" s="25" t="s">
        <v>973</v>
      </c>
      <c r="D373" s="25" t="s">
        <v>976</v>
      </c>
      <c r="E373" s="25" t="s">
        <v>984</v>
      </c>
      <c r="F373" s="50">
        <v>2</v>
      </c>
      <c r="G373" s="50">
        <f t="shared" si="31"/>
        <v>2931</v>
      </c>
      <c r="H373" s="57">
        <v>3451</v>
      </c>
      <c r="I373" s="32">
        <v>2931</v>
      </c>
      <c r="J373" s="32">
        <v>2931.6</v>
      </c>
      <c r="K373" s="32">
        <v>10.01</v>
      </c>
      <c r="L373" s="46">
        <f t="shared" si="32"/>
        <v>17.741385192766973</v>
      </c>
      <c r="M373" s="46">
        <f t="shared" si="33"/>
        <v>0</v>
      </c>
      <c r="N373" s="46">
        <f t="shared" si="34"/>
        <v>2.0470829068574174E-2</v>
      </c>
      <c r="O373" s="41" t="s">
        <v>1</v>
      </c>
      <c r="P373" s="50">
        <v>2943</v>
      </c>
      <c r="Q373" s="30">
        <v>2948.6</v>
      </c>
      <c r="R373" s="33">
        <v>38.517610060000003</v>
      </c>
      <c r="S373" s="46">
        <f t="shared" si="35"/>
        <v>0.40941658137154557</v>
      </c>
      <c r="T373" s="46">
        <f t="shared" si="36"/>
        <v>0.6004776526782637</v>
      </c>
      <c r="U373" s="50">
        <f>IF($I373&lt;$P373,1,0)</f>
        <v>1</v>
      </c>
      <c r="V373" s="50">
        <f>IF($I373=$P373,1,0)</f>
        <v>0</v>
      </c>
      <c r="W373" s="50">
        <f>IF($I373&gt;$P373,1,0)</f>
        <v>0</v>
      </c>
    </row>
    <row r="374" spans="1:23" x14ac:dyDescent="0.6">
      <c r="A374" s="41" t="s">
        <v>367</v>
      </c>
      <c r="B374" s="50">
        <v>100</v>
      </c>
      <c r="C374" s="25" t="s">
        <v>973</v>
      </c>
      <c r="D374" s="25" t="s">
        <v>976</v>
      </c>
      <c r="E374" s="25" t="s">
        <v>982</v>
      </c>
      <c r="F374" s="50">
        <v>3</v>
      </c>
      <c r="G374" s="50">
        <f t="shared" si="31"/>
        <v>2955</v>
      </c>
      <c r="H374" s="57">
        <v>3454</v>
      </c>
      <c r="I374" s="32">
        <v>2955</v>
      </c>
      <c r="J374" s="32">
        <v>2955.6</v>
      </c>
      <c r="K374" s="32">
        <v>10</v>
      </c>
      <c r="L374" s="46">
        <f t="shared" si="32"/>
        <v>16.886632825719119</v>
      </c>
      <c r="M374" s="46">
        <f t="shared" si="33"/>
        <v>0</v>
      </c>
      <c r="N374" s="46">
        <f t="shared" si="34"/>
        <v>2.0304568527915706E-2</v>
      </c>
      <c r="O374" s="41" t="s">
        <v>1</v>
      </c>
      <c r="P374" s="50">
        <v>2968</v>
      </c>
      <c r="Q374" s="30">
        <v>2974</v>
      </c>
      <c r="R374" s="33">
        <v>37.556287099999999</v>
      </c>
      <c r="S374" s="46">
        <f t="shared" si="35"/>
        <v>0.43993231810490691</v>
      </c>
      <c r="T374" s="46">
        <f t="shared" si="36"/>
        <v>0.64297800338409483</v>
      </c>
      <c r="U374" s="50">
        <f>IF($I374&lt;$P374,1,0)</f>
        <v>1</v>
      </c>
      <c r="V374" s="50">
        <f>IF($I374=$P374,1,0)</f>
        <v>0</v>
      </c>
      <c r="W374" s="50">
        <f>IF($I374&gt;$P374,1,0)</f>
        <v>0</v>
      </c>
    </row>
    <row r="375" spans="1:23" x14ac:dyDescent="0.6">
      <c r="A375" s="41" t="s">
        <v>368</v>
      </c>
      <c r="B375" s="50">
        <v>100</v>
      </c>
      <c r="C375" s="25" t="s">
        <v>973</v>
      </c>
      <c r="D375" s="25" t="s">
        <v>976</v>
      </c>
      <c r="E375" s="25" t="s">
        <v>982</v>
      </c>
      <c r="F375" s="50">
        <v>4</v>
      </c>
      <c r="G375" s="50">
        <f t="shared" si="31"/>
        <v>2938</v>
      </c>
      <c r="H375" s="57">
        <v>3208</v>
      </c>
      <c r="I375" s="32">
        <v>2938</v>
      </c>
      <c r="J375" s="32">
        <v>2939.4</v>
      </c>
      <c r="K375" s="32">
        <v>10.01</v>
      </c>
      <c r="L375" s="46">
        <f t="shared" si="32"/>
        <v>9.1899251191286577</v>
      </c>
      <c r="M375" s="46">
        <f t="shared" si="33"/>
        <v>0</v>
      </c>
      <c r="N375" s="46">
        <f t="shared" si="34"/>
        <v>4.7651463580670211E-2</v>
      </c>
      <c r="O375" s="41" t="s">
        <v>1</v>
      </c>
      <c r="P375" s="50">
        <v>2954</v>
      </c>
      <c r="Q375" s="30">
        <v>2958.8</v>
      </c>
      <c r="R375" s="33">
        <v>37.437670320000002</v>
      </c>
      <c r="S375" s="46">
        <f t="shared" si="35"/>
        <v>0.54458815520762416</v>
      </c>
      <c r="T375" s="46">
        <f t="shared" si="36"/>
        <v>0.7079646017699176</v>
      </c>
      <c r="U375" s="50">
        <f>IF($I375&lt;$P375,1,0)</f>
        <v>1</v>
      </c>
      <c r="V375" s="50">
        <f>IF($I375=$P375,1,0)</f>
        <v>0</v>
      </c>
      <c r="W375" s="50">
        <f>IF($I375&gt;$P375,1,0)</f>
        <v>0</v>
      </c>
    </row>
    <row r="376" spans="1:23" x14ac:dyDescent="0.6">
      <c r="A376" s="41" t="s">
        <v>369</v>
      </c>
      <c r="B376" s="50">
        <v>100</v>
      </c>
      <c r="C376" s="25" t="s">
        <v>973</v>
      </c>
      <c r="D376" s="25" t="s">
        <v>976</v>
      </c>
      <c r="E376" s="25" t="s">
        <v>982</v>
      </c>
      <c r="F376" s="50">
        <v>5</v>
      </c>
      <c r="G376" s="50">
        <f t="shared" si="31"/>
        <v>2919</v>
      </c>
      <c r="H376" s="57">
        <v>3400</v>
      </c>
      <c r="I376" s="32">
        <v>2919</v>
      </c>
      <c r="J376" s="32">
        <v>2919.6</v>
      </c>
      <c r="K376" s="32">
        <v>10.01</v>
      </c>
      <c r="L376" s="46">
        <f t="shared" si="32"/>
        <v>16.478245974648853</v>
      </c>
      <c r="M376" s="46">
        <f t="shared" si="33"/>
        <v>0</v>
      </c>
      <c r="N376" s="46">
        <f t="shared" si="34"/>
        <v>2.0554984583758446E-2</v>
      </c>
      <c r="O376" s="41" t="s">
        <v>1</v>
      </c>
      <c r="P376" s="50">
        <v>2933</v>
      </c>
      <c r="Q376" s="30">
        <v>2940</v>
      </c>
      <c r="R376" s="33">
        <v>38.039442579999999</v>
      </c>
      <c r="S376" s="46">
        <f t="shared" si="35"/>
        <v>0.47961630695443641</v>
      </c>
      <c r="T376" s="46">
        <f t="shared" si="36"/>
        <v>0.71942446043165476</v>
      </c>
      <c r="U376" s="50">
        <f>IF($I376&lt;$P376,1,0)</f>
        <v>1</v>
      </c>
      <c r="V376" s="50">
        <f>IF($I376=$P376,1,0)</f>
        <v>0</v>
      </c>
      <c r="W376" s="50">
        <f>IF($I376&gt;$P376,1,0)</f>
        <v>0</v>
      </c>
    </row>
    <row r="377" spans="1:23" x14ac:dyDescent="0.6">
      <c r="A377" s="41" t="s">
        <v>370</v>
      </c>
      <c r="B377" s="50">
        <v>100</v>
      </c>
      <c r="C377" s="25" t="s">
        <v>973</v>
      </c>
      <c r="D377" s="25" t="s">
        <v>976</v>
      </c>
      <c r="E377" s="25" t="s">
        <v>982</v>
      </c>
      <c r="F377" s="50">
        <v>6</v>
      </c>
      <c r="G377" s="50">
        <f t="shared" si="31"/>
        <v>2944</v>
      </c>
      <c r="H377" s="57">
        <v>3407</v>
      </c>
      <c r="I377" s="32">
        <v>2944</v>
      </c>
      <c r="J377" s="32">
        <v>2945.8</v>
      </c>
      <c r="K377" s="32">
        <v>10.01</v>
      </c>
      <c r="L377" s="46">
        <f t="shared" si="32"/>
        <v>15.726902173913043</v>
      </c>
      <c r="M377" s="46">
        <f t="shared" si="33"/>
        <v>0</v>
      </c>
      <c r="N377" s="46">
        <f t="shared" si="34"/>
        <v>6.1141304347832263E-2</v>
      </c>
      <c r="O377" s="41" t="s">
        <v>1</v>
      </c>
      <c r="P377" s="50">
        <v>2962</v>
      </c>
      <c r="Q377" s="30">
        <v>2967</v>
      </c>
      <c r="R377" s="33">
        <v>38.327379759999999</v>
      </c>
      <c r="S377" s="46">
        <f t="shared" si="35"/>
        <v>0.61141304347826086</v>
      </c>
      <c r="T377" s="46">
        <f t="shared" si="36"/>
        <v>0.78125</v>
      </c>
      <c r="U377" s="50">
        <f>IF($I377&lt;$P377,1,0)</f>
        <v>1</v>
      </c>
      <c r="V377" s="50">
        <f>IF($I377=$P377,1,0)</f>
        <v>0</v>
      </c>
      <c r="W377" s="50">
        <f>IF($I377&gt;$P377,1,0)</f>
        <v>0</v>
      </c>
    </row>
    <row r="378" spans="1:23" x14ac:dyDescent="0.6">
      <c r="A378" s="41" t="s">
        <v>371</v>
      </c>
      <c r="B378" s="50">
        <v>100</v>
      </c>
      <c r="C378" s="25" t="s">
        <v>973</v>
      </c>
      <c r="D378" s="25" t="s">
        <v>976</v>
      </c>
      <c r="E378" s="25" t="s">
        <v>982</v>
      </c>
      <c r="F378" s="50">
        <v>7</v>
      </c>
      <c r="G378" s="50">
        <f t="shared" si="31"/>
        <v>2935</v>
      </c>
      <c r="H378" s="57">
        <v>3317</v>
      </c>
      <c r="I378" s="32">
        <v>2935</v>
      </c>
      <c r="J378" s="32">
        <v>2935.4</v>
      </c>
      <c r="K378" s="32">
        <v>10.01</v>
      </c>
      <c r="L378" s="46">
        <f t="shared" si="32"/>
        <v>13.015332197614992</v>
      </c>
      <c r="M378" s="46">
        <f t="shared" si="33"/>
        <v>0</v>
      </c>
      <c r="N378" s="46">
        <f t="shared" si="34"/>
        <v>1.3628620102217751E-2</v>
      </c>
      <c r="O378" s="41" t="s">
        <v>1</v>
      </c>
      <c r="P378" s="50">
        <v>2949</v>
      </c>
      <c r="Q378" s="30">
        <v>2953.8</v>
      </c>
      <c r="R378" s="33">
        <v>37.028767739999999</v>
      </c>
      <c r="S378" s="46">
        <f t="shared" si="35"/>
        <v>0.47700170357751281</v>
      </c>
      <c r="T378" s="46">
        <f t="shared" si="36"/>
        <v>0.64054514480409475</v>
      </c>
      <c r="U378" s="50">
        <f>IF($I378&lt;$P378,1,0)</f>
        <v>1</v>
      </c>
      <c r="V378" s="50">
        <f>IF($I378=$P378,1,0)</f>
        <v>0</v>
      </c>
      <c r="W378" s="50">
        <f>IF($I378&gt;$P378,1,0)</f>
        <v>0</v>
      </c>
    </row>
    <row r="379" spans="1:23" x14ac:dyDescent="0.6">
      <c r="A379" s="41" t="s">
        <v>372</v>
      </c>
      <c r="B379" s="50">
        <v>100</v>
      </c>
      <c r="C379" s="25" t="s">
        <v>973</v>
      </c>
      <c r="D379" s="25" t="s">
        <v>976</v>
      </c>
      <c r="E379" s="25" t="s">
        <v>982</v>
      </c>
      <c r="F379" s="50">
        <v>8</v>
      </c>
      <c r="G379" s="50">
        <f t="shared" si="31"/>
        <v>2934</v>
      </c>
      <c r="H379" s="57">
        <v>3476</v>
      </c>
      <c r="I379" s="32">
        <v>2934</v>
      </c>
      <c r="J379" s="32">
        <v>2934.8</v>
      </c>
      <c r="K379" s="32">
        <v>10.01</v>
      </c>
      <c r="L379" s="46">
        <f t="shared" si="32"/>
        <v>18.47307430129516</v>
      </c>
      <c r="M379" s="46">
        <f t="shared" si="33"/>
        <v>0</v>
      </c>
      <c r="N379" s="46">
        <f t="shared" si="34"/>
        <v>2.7266530334021197E-2</v>
      </c>
      <c r="O379" s="41" t="s">
        <v>1</v>
      </c>
      <c r="P379" s="50">
        <v>2953</v>
      </c>
      <c r="Q379" s="30">
        <v>2957.2</v>
      </c>
      <c r="R379" s="33">
        <v>37.216781740000002</v>
      </c>
      <c r="S379" s="46">
        <f t="shared" si="35"/>
        <v>0.64758009543285622</v>
      </c>
      <c r="T379" s="46">
        <f t="shared" si="36"/>
        <v>0.79072937968642876</v>
      </c>
      <c r="U379" s="50">
        <f>IF($I379&lt;$P379,1,0)</f>
        <v>1</v>
      </c>
      <c r="V379" s="50">
        <f>IF($I379=$P379,1,0)</f>
        <v>0</v>
      </c>
      <c r="W379" s="50">
        <f>IF($I379&gt;$P379,1,0)</f>
        <v>0</v>
      </c>
    </row>
    <row r="380" spans="1:23" x14ac:dyDescent="0.6">
      <c r="A380" s="41" t="s">
        <v>373</v>
      </c>
      <c r="B380" s="50">
        <v>100</v>
      </c>
      <c r="C380" s="25" t="s">
        <v>973</v>
      </c>
      <c r="D380" s="25" t="s">
        <v>976</v>
      </c>
      <c r="E380" s="25" t="s">
        <v>982</v>
      </c>
      <c r="F380" s="50">
        <v>9</v>
      </c>
      <c r="G380" s="50">
        <f t="shared" si="31"/>
        <v>2953</v>
      </c>
      <c r="H380" s="57">
        <v>3375</v>
      </c>
      <c r="I380" s="32">
        <v>2953</v>
      </c>
      <c r="J380" s="32">
        <v>2954.8</v>
      </c>
      <c r="K380" s="32">
        <v>10</v>
      </c>
      <c r="L380" s="46">
        <f t="shared" si="32"/>
        <v>14.290551981036234</v>
      </c>
      <c r="M380" s="46">
        <f t="shared" si="33"/>
        <v>0</v>
      </c>
      <c r="N380" s="46">
        <f t="shared" si="34"/>
        <v>6.0954961056558815E-2</v>
      </c>
      <c r="O380" s="41" t="s">
        <v>1</v>
      </c>
      <c r="P380" s="50">
        <v>2971</v>
      </c>
      <c r="Q380" s="30">
        <v>2974.8</v>
      </c>
      <c r="R380" s="33">
        <v>37.592328240000001</v>
      </c>
      <c r="S380" s="46">
        <f t="shared" si="35"/>
        <v>0.60954961056552659</v>
      </c>
      <c r="T380" s="46">
        <f t="shared" si="36"/>
        <v>0.73823230612936619</v>
      </c>
      <c r="U380" s="50">
        <f>IF($I380&lt;$P380,1,0)</f>
        <v>1</v>
      </c>
      <c r="V380" s="50">
        <f>IF($I380=$P380,1,0)</f>
        <v>0</v>
      </c>
      <c r="W380" s="50">
        <f>IF($I380&gt;$P380,1,0)</f>
        <v>0</v>
      </c>
    </row>
    <row r="381" spans="1:23" x14ac:dyDescent="0.6">
      <c r="A381" s="41" t="s">
        <v>374</v>
      </c>
      <c r="B381" s="50">
        <v>100</v>
      </c>
      <c r="C381" s="25" t="s">
        <v>973</v>
      </c>
      <c r="D381" s="25" t="s">
        <v>976</v>
      </c>
      <c r="E381" s="25" t="s">
        <v>982</v>
      </c>
      <c r="F381" s="50">
        <v>10</v>
      </c>
      <c r="G381" s="50">
        <f t="shared" si="31"/>
        <v>2906</v>
      </c>
      <c r="H381" s="57">
        <v>3605</v>
      </c>
      <c r="I381" s="32">
        <v>2906</v>
      </c>
      <c r="J381" s="32">
        <v>2906.8</v>
      </c>
      <c r="K381" s="32">
        <v>10.01</v>
      </c>
      <c r="L381" s="46">
        <f t="shared" si="32"/>
        <v>24.053682037164485</v>
      </c>
      <c r="M381" s="46">
        <f t="shared" si="33"/>
        <v>0</v>
      </c>
      <c r="N381" s="46">
        <f t="shared" si="34"/>
        <v>2.7529249827948448E-2</v>
      </c>
      <c r="O381" s="41" t="s">
        <v>1</v>
      </c>
      <c r="P381" s="50">
        <v>2923</v>
      </c>
      <c r="Q381" s="30">
        <v>2926</v>
      </c>
      <c r="R381" s="33">
        <v>37.807086079999998</v>
      </c>
      <c r="S381" s="46">
        <f t="shared" si="35"/>
        <v>0.58499655884377144</v>
      </c>
      <c r="T381" s="46">
        <f t="shared" si="36"/>
        <v>0.68823124569855476</v>
      </c>
      <c r="U381" s="50">
        <f>IF($I381&lt;$P381,1,0)</f>
        <v>1</v>
      </c>
      <c r="V381" s="50">
        <f>IF($I381=$P381,1,0)</f>
        <v>0</v>
      </c>
      <c r="W381" s="50">
        <f>IF($I381&gt;$P381,1,0)</f>
        <v>0</v>
      </c>
    </row>
    <row r="382" spans="1:23" x14ac:dyDescent="0.6">
      <c r="A382" s="41" t="s">
        <v>375</v>
      </c>
      <c r="B382" s="50">
        <v>100</v>
      </c>
      <c r="C382" s="25" t="s">
        <v>973</v>
      </c>
      <c r="D382" s="25" t="s">
        <v>979</v>
      </c>
      <c r="E382" s="25" t="s">
        <v>981</v>
      </c>
      <c r="F382" s="50">
        <v>1</v>
      </c>
      <c r="G382" s="50">
        <f t="shared" si="31"/>
        <v>3425</v>
      </c>
      <c r="H382" s="57">
        <v>3624</v>
      </c>
      <c r="I382" s="32">
        <v>3425</v>
      </c>
      <c r="J382" s="32">
        <v>3426</v>
      </c>
      <c r="K382" s="32">
        <v>10.01</v>
      </c>
      <c r="L382" s="46">
        <f t="shared" si="32"/>
        <v>5.8102189781021902</v>
      </c>
      <c r="M382" s="46">
        <f t="shared" si="33"/>
        <v>0</v>
      </c>
      <c r="N382" s="46">
        <f t="shared" si="34"/>
        <v>2.9197080291970805E-2</v>
      </c>
      <c r="O382" s="41" t="s">
        <v>1</v>
      </c>
      <c r="P382" s="50">
        <v>3443</v>
      </c>
      <c r="Q382" s="30">
        <v>3448.4</v>
      </c>
      <c r="R382" s="33">
        <v>37.695569939999999</v>
      </c>
      <c r="S382" s="46">
        <f t="shared" si="35"/>
        <v>0.52554744525547437</v>
      </c>
      <c r="T382" s="46">
        <f t="shared" si="36"/>
        <v>0.68321167883211953</v>
      </c>
      <c r="U382" s="50">
        <f>IF($I382&lt;$P382,1,0)</f>
        <v>1</v>
      </c>
      <c r="V382" s="50">
        <f>IF($I382=$P382,1,0)</f>
        <v>0</v>
      </c>
      <c r="W382" s="50">
        <f>IF($I382&gt;$P382,1,0)</f>
        <v>0</v>
      </c>
    </row>
    <row r="383" spans="1:23" x14ac:dyDescent="0.6">
      <c r="A383" s="41" t="s">
        <v>376</v>
      </c>
      <c r="B383" s="50">
        <v>100</v>
      </c>
      <c r="C383" s="25" t="s">
        <v>973</v>
      </c>
      <c r="D383" s="25" t="s">
        <v>979</v>
      </c>
      <c r="E383" s="25" t="s">
        <v>983</v>
      </c>
      <c r="F383" s="50">
        <v>2</v>
      </c>
      <c r="G383" s="50">
        <f t="shared" si="31"/>
        <v>3424</v>
      </c>
      <c r="H383" s="57">
        <v>3647</v>
      </c>
      <c r="I383" s="32">
        <v>3424</v>
      </c>
      <c r="J383" s="32">
        <v>3426</v>
      </c>
      <c r="K383" s="32">
        <v>10.01</v>
      </c>
      <c r="L383" s="46">
        <f t="shared" si="32"/>
        <v>6.5128504672897201</v>
      </c>
      <c r="M383" s="46">
        <f t="shared" si="33"/>
        <v>0</v>
      </c>
      <c r="N383" s="46">
        <f t="shared" si="34"/>
        <v>5.8411214953271021E-2</v>
      </c>
      <c r="O383" s="41" t="s">
        <v>1</v>
      </c>
      <c r="P383" s="50">
        <v>3438</v>
      </c>
      <c r="Q383" s="30">
        <v>3441.8</v>
      </c>
      <c r="R383" s="33">
        <v>37.39580728</v>
      </c>
      <c r="S383" s="46">
        <f t="shared" si="35"/>
        <v>0.40887850467289716</v>
      </c>
      <c r="T383" s="46">
        <f t="shared" si="36"/>
        <v>0.51985981308411744</v>
      </c>
      <c r="U383" s="50">
        <f>IF($I383&lt;$P383,1,0)</f>
        <v>1</v>
      </c>
      <c r="V383" s="50">
        <f>IF($I383=$P383,1,0)</f>
        <v>0</v>
      </c>
      <c r="W383" s="50">
        <f>IF($I383&gt;$P383,1,0)</f>
        <v>0</v>
      </c>
    </row>
    <row r="384" spans="1:23" x14ac:dyDescent="0.6">
      <c r="A384" s="41" t="s">
        <v>377</v>
      </c>
      <c r="B384" s="50">
        <v>100</v>
      </c>
      <c r="C384" s="25" t="s">
        <v>973</v>
      </c>
      <c r="D384" s="25" t="s">
        <v>978</v>
      </c>
      <c r="E384" s="25" t="s">
        <v>980</v>
      </c>
      <c r="F384" s="50">
        <v>3</v>
      </c>
      <c r="G384" s="50">
        <f t="shared" si="31"/>
        <v>3449</v>
      </c>
      <c r="H384" s="57">
        <v>3685</v>
      </c>
      <c r="I384" s="32">
        <v>3449</v>
      </c>
      <c r="J384" s="32">
        <v>3449.6</v>
      </c>
      <c r="K384" s="32">
        <v>10.01</v>
      </c>
      <c r="L384" s="46">
        <f t="shared" si="32"/>
        <v>6.8425630617570317</v>
      </c>
      <c r="M384" s="46">
        <f t="shared" si="33"/>
        <v>0</v>
      </c>
      <c r="N384" s="46">
        <f t="shared" si="34"/>
        <v>1.7396346767176257E-2</v>
      </c>
      <c r="O384" s="41" t="s">
        <v>1</v>
      </c>
      <c r="P384" s="50">
        <v>3459</v>
      </c>
      <c r="Q384" s="30">
        <v>3465</v>
      </c>
      <c r="R384" s="33">
        <v>37.771279100000001</v>
      </c>
      <c r="S384" s="46">
        <f t="shared" si="35"/>
        <v>0.2899391127863149</v>
      </c>
      <c r="T384" s="46">
        <f t="shared" si="36"/>
        <v>0.46390258045810379</v>
      </c>
      <c r="U384" s="50">
        <f>IF($I384&lt;$P384,1,0)</f>
        <v>1</v>
      </c>
      <c r="V384" s="50">
        <f>IF($I384=$P384,1,0)</f>
        <v>0</v>
      </c>
      <c r="W384" s="50">
        <f>IF($I384&gt;$P384,1,0)</f>
        <v>0</v>
      </c>
    </row>
    <row r="385" spans="1:23" x14ac:dyDescent="0.6">
      <c r="A385" s="41" t="s">
        <v>378</v>
      </c>
      <c r="B385" s="50">
        <v>100</v>
      </c>
      <c r="C385" s="25" t="s">
        <v>973</v>
      </c>
      <c r="D385" s="25" t="s">
        <v>978</v>
      </c>
      <c r="E385" s="25" t="s">
        <v>980</v>
      </c>
      <c r="F385" s="50">
        <v>4</v>
      </c>
      <c r="G385" s="50">
        <f t="shared" si="31"/>
        <v>3435</v>
      </c>
      <c r="H385" s="57">
        <v>3574</v>
      </c>
      <c r="I385" s="32">
        <v>3435</v>
      </c>
      <c r="J385" s="32">
        <v>3436</v>
      </c>
      <c r="K385" s="32">
        <v>10.01</v>
      </c>
      <c r="L385" s="46">
        <f t="shared" si="32"/>
        <v>4.0465793304221256</v>
      </c>
      <c r="M385" s="46">
        <f t="shared" si="33"/>
        <v>0</v>
      </c>
      <c r="N385" s="46">
        <f t="shared" si="34"/>
        <v>2.9112081513828242E-2</v>
      </c>
      <c r="O385" s="41" t="s">
        <v>1</v>
      </c>
      <c r="P385" s="50">
        <v>3449</v>
      </c>
      <c r="Q385" s="30">
        <v>3452.2</v>
      </c>
      <c r="R385" s="33">
        <v>38.2953312</v>
      </c>
      <c r="S385" s="46">
        <f t="shared" si="35"/>
        <v>0.40756914119359533</v>
      </c>
      <c r="T385" s="46">
        <f t="shared" si="36"/>
        <v>0.5007278020378404</v>
      </c>
      <c r="U385" s="50">
        <f>IF($I385&lt;$P385,1,0)</f>
        <v>1</v>
      </c>
      <c r="V385" s="50">
        <f>IF($I385=$P385,1,0)</f>
        <v>0</v>
      </c>
      <c r="W385" s="50">
        <f>IF($I385&gt;$P385,1,0)</f>
        <v>0</v>
      </c>
    </row>
    <row r="386" spans="1:23" x14ac:dyDescent="0.6">
      <c r="A386" s="41" t="s">
        <v>379</v>
      </c>
      <c r="B386" s="50">
        <v>100</v>
      </c>
      <c r="C386" s="25" t="s">
        <v>973</v>
      </c>
      <c r="D386" s="25" t="s">
        <v>978</v>
      </c>
      <c r="E386" s="25" t="s">
        <v>980</v>
      </c>
      <c r="F386" s="50">
        <v>5</v>
      </c>
      <c r="G386" s="50">
        <f t="shared" si="31"/>
        <v>3413</v>
      </c>
      <c r="H386" s="57">
        <v>3627</v>
      </c>
      <c r="I386" s="32">
        <v>3413</v>
      </c>
      <c r="J386" s="32">
        <v>3414.4</v>
      </c>
      <c r="K386" s="32">
        <v>10.01</v>
      </c>
      <c r="L386" s="46">
        <f t="shared" si="32"/>
        <v>6.2701435687078808</v>
      </c>
      <c r="M386" s="46">
        <f t="shared" si="33"/>
        <v>0</v>
      </c>
      <c r="N386" s="46">
        <f t="shared" si="34"/>
        <v>4.1019630823325257E-2</v>
      </c>
      <c r="O386" s="41" t="s">
        <v>1</v>
      </c>
      <c r="P386" s="50">
        <v>3431</v>
      </c>
      <c r="Q386" s="30">
        <v>3436.2</v>
      </c>
      <c r="R386" s="33">
        <v>37.312212500000001</v>
      </c>
      <c r="S386" s="46">
        <f t="shared" si="35"/>
        <v>0.52739525344271898</v>
      </c>
      <c r="T386" s="46">
        <f t="shared" si="36"/>
        <v>0.67975388221505473</v>
      </c>
      <c r="U386" s="50">
        <f>IF($I386&lt;$P386,1,0)</f>
        <v>1</v>
      </c>
      <c r="V386" s="50">
        <f>IF($I386=$P386,1,0)</f>
        <v>0</v>
      </c>
      <c r="W386" s="50">
        <f>IF($I386&gt;$P386,1,0)</f>
        <v>0</v>
      </c>
    </row>
    <row r="387" spans="1:23" x14ac:dyDescent="0.6">
      <c r="A387" s="41" t="s">
        <v>380</v>
      </c>
      <c r="B387" s="50">
        <v>100</v>
      </c>
      <c r="C387" s="25" t="s">
        <v>973</v>
      </c>
      <c r="D387" s="25" t="s">
        <v>978</v>
      </c>
      <c r="E387" s="25" t="s">
        <v>980</v>
      </c>
      <c r="F387" s="50">
        <v>6</v>
      </c>
      <c r="G387" s="50">
        <f t="shared" ref="G387:G401" si="37">MIN(I387,P387)</f>
        <v>3439</v>
      </c>
      <c r="H387" s="57">
        <v>3644</v>
      </c>
      <c r="I387" s="32">
        <v>3439</v>
      </c>
      <c r="J387" s="32">
        <v>3439.8</v>
      </c>
      <c r="K387" s="32">
        <v>10.01</v>
      </c>
      <c r="L387" s="46">
        <f t="shared" ref="L387:L401" si="38">(H387-$G387)/$G387*100</f>
        <v>5.9610351846466996</v>
      </c>
      <c r="M387" s="46">
        <f t="shared" ref="M387:M401" si="39">(I387-$G387)/$G387*100</f>
        <v>0</v>
      </c>
      <c r="N387" s="46">
        <f t="shared" ref="N387:N401" si="40">(J387-$G387)/$G387*100</f>
        <v>2.3262576330333871E-2</v>
      </c>
      <c r="O387" s="41" t="s">
        <v>1</v>
      </c>
      <c r="P387" s="50">
        <v>3455</v>
      </c>
      <c r="Q387" s="30">
        <v>3456.8</v>
      </c>
      <c r="R387" s="33">
        <v>37.680313599999998</v>
      </c>
      <c r="S387" s="46">
        <f t="shared" ref="S387:S401" si="41">(P387-$G387)/$G387*100</f>
        <v>0.46525152660657165</v>
      </c>
      <c r="T387" s="46">
        <f t="shared" ref="T387:T401" si="42">(Q387-$G387)/$G387*100</f>
        <v>0.5175923233498162</v>
      </c>
      <c r="U387" s="50">
        <f>IF($I387&lt;$P387,1,0)</f>
        <v>1</v>
      </c>
      <c r="V387" s="50">
        <f>IF($I387=$P387,1,0)</f>
        <v>0</v>
      </c>
      <c r="W387" s="50">
        <f>IF($I387&gt;$P387,1,0)</f>
        <v>0</v>
      </c>
    </row>
    <row r="388" spans="1:23" x14ac:dyDescent="0.6">
      <c r="A388" s="41" t="s">
        <v>381</v>
      </c>
      <c r="B388" s="50">
        <v>100</v>
      </c>
      <c r="C388" s="25" t="s">
        <v>973</v>
      </c>
      <c r="D388" s="25" t="s">
        <v>978</v>
      </c>
      <c r="E388" s="25" t="s">
        <v>980</v>
      </c>
      <c r="F388" s="50">
        <v>7</v>
      </c>
      <c r="G388" s="50">
        <f t="shared" si="37"/>
        <v>3428</v>
      </c>
      <c r="H388" s="57">
        <v>3603</v>
      </c>
      <c r="I388" s="32">
        <v>3428</v>
      </c>
      <c r="J388" s="32">
        <v>3429.6</v>
      </c>
      <c r="K388" s="32">
        <v>10.01</v>
      </c>
      <c r="L388" s="46">
        <f t="shared" si="38"/>
        <v>5.1050175029171534</v>
      </c>
      <c r="M388" s="46">
        <f t="shared" si="39"/>
        <v>0</v>
      </c>
      <c r="N388" s="46">
        <f t="shared" si="40"/>
        <v>4.6674445740954175E-2</v>
      </c>
      <c r="O388" s="41" t="s">
        <v>1</v>
      </c>
      <c r="P388" s="50">
        <v>3437</v>
      </c>
      <c r="Q388" s="30">
        <v>3441.8</v>
      </c>
      <c r="R388" s="33">
        <v>38.786647479999999</v>
      </c>
      <c r="S388" s="46">
        <f t="shared" si="41"/>
        <v>0.26254375729288215</v>
      </c>
      <c r="T388" s="46">
        <f t="shared" si="42"/>
        <v>0.4025670945157579</v>
      </c>
      <c r="U388" s="50">
        <f>IF($I388&lt;$P388,1,0)</f>
        <v>1</v>
      </c>
      <c r="V388" s="50">
        <f>IF($I388=$P388,1,0)</f>
        <v>0</v>
      </c>
      <c r="W388" s="50">
        <f>IF($I388&gt;$P388,1,0)</f>
        <v>0</v>
      </c>
    </row>
    <row r="389" spans="1:23" x14ac:dyDescent="0.6">
      <c r="A389" s="41" t="s">
        <v>382</v>
      </c>
      <c r="B389" s="50">
        <v>100</v>
      </c>
      <c r="C389" s="25" t="s">
        <v>973</v>
      </c>
      <c r="D389" s="25" t="s">
        <v>978</v>
      </c>
      <c r="E389" s="25" t="s">
        <v>980</v>
      </c>
      <c r="F389" s="50">
        <v>8</v>
      </c>
      <c r="G389" s="50">
        <f t="shared" si="37"/>
        <v>3430</v>
      </c>
      <c r="H389" s="57">
        <v>3672</v>
      </c>
      <c r="I389" s="32">
        <v>3430</v>
      </c>
      <c r="J389" s="32">
        <v>3431.6</v>
      </c>
      <c r="K389" s="32">
        <v>10</v>
      </c>
      <c r="L389" s="46">
        <f t="shared" si="38"/>
        <v>7.055393586005831</v>
      </c>
      <c r="M389" s="46">
        <f t="shared" si="39"/>
        <v>0</v>
      </c>
      <c r="N389" s="46">
        <f t="shared" si="40"/>
        <v>4.6647230320697057E-2</v>
      </c>
      <c r="O389" s="41" t="s">
        <v>1</v>
      </c>
      <c r="P389" s="50">
        <v>3441</v>
      </c>
      <c r="Q389" s="30">
        <v>3446.4</v>
      </c>
      <c r="R389" s="33">
        <v>37.95970312</v>
      </c>
      <c r="S389" s="46">
        <f t="shared" si="41"/>
        <v>0.32069970845481049</v>
      </c>
      <c r="T389" s="46">
        <f t="shared" si="42"/>
        <v>0.47813411078717466</v>
      </c>
      <c r="U389" s="50">
        <f>IF($I389&lt;$P389,1,0)</f>
        <v>1</v>
      </c>
      <c r="V389" s="50">
        <f>IF($I389=$P389,1,0)</f>
        <v>0</v>
      </c>
      <c r="W389" s="50">
        <f>IF($I389&gt;$P389,1,0)</f>
        <v>0</v>
      </c>
    </row>
    <row r="390" spans="1:23" x14ac:dyDescent="0.6">
      <c r="A390" s="41" t="s">
        <v>383</v>
      </c>
      <c r="B390" s="50">
        <v>100</v>
      </c>
      <c r="C390" s="25" t="s">
        <v>973</v>
      </c>
      <c r="D390" s="25" t="s">
        <v>978</v>
      </c>
      <c r="E390" s="25" t="s">
        <v>980</v>
      </c>
      <c r="F390" s="50">
        <v>9</v>
      </c>
      <c r="G390" s="50">
        <f t="shared" si="37"/>
        <v>3447</v>
      </c>
      <c r="H390" s="57">
        <v>3656</v>
      </c>
      <c r="I390" s="32">
        <v>3447</v>
      </c>
      <c r="J390" s="32">
        <v>3448.8</v>
      </c>
      <c r="K390" s="32">
        <v>10.01</v>
      </c>
      <c r="L390" s="46">
        <f t="shared" si="38"/>
        <v>6.0632434000580213</v>
      </c>
      <c r="M390" s="46">
        <f t="shared" si="39"/>
        <v>0</v>
      </c>
      <c r="N390" s="46">
        <f t="shared" si="40"/>
        <v>5.2219321148830343E-2</v>
      </c>
      <c r="O390" s="41" t="s">
        <v>1</v>
      </c>
      <c r="P390" s="50">
        <v>3457</v>
      </c>
      <c r="Q390" s="30">
        <v>3470</v>
      </c>
      <c r="R390" s="33">
        <v>37.183955019999999</v>
      </c>
      <c r="S390" s="46">
        <f t="shared" si="41"/>
        <v>0.2901073397156948</v>
      </c>
      <c r="T390" s="46">
        <f t="shared" si="42"/>
        <v>0.66724688134609811</v>
      </c>
      <c r="U390" s="50">
        <f>IF($I390&lt;$P390,1,0)</f>
        <v>1</v>
      </c>
      <c r="V390" s="50">
        <f>IF($I390=$P390,1,0)</f>
        <v>0</v>
      </c>
      <c r="W390" s="50">
        <f>IF($I390&gt;$P390,1,0)</f>
        <v>0</v>
      </c>
    </row>
    <row r="391" spans="1:23" x14ac:dyDescent="0.6">
      <c r="A391" s="41" t="s">
        <v>384</v>
      </c>
      <c r="B391" s="50">
        <v>100</v>
      </c>
      <c r="C391" s="25" t="s">
        <v>973</v>
      </c>
      <c r="D391" s="25" t="s">
        <v>978</v>
      </c>
      <c r="E391" s="25" t="s">
        <v>980</v>
      </c>
      <c r="F391" s="50">
        <v>10</v>
      </c>
      <c r="G391" s="50">
        <f t="shared" si="37"/>
        <v>3401</v>
      </c>
      <c r="H391" s="57">
        <v>3716</v>
      </c>
      <c r="I391" s="32">
        <v>3401</v>
      </c>
      <c r="J391" s="32">
        <v>3401.8</v>
      </c>
      <c r="K391" s="32">
        <v>10.01</v>
      </c>
      <c r="L391" s="46">
        <f t="shared" si="38"/>
        <v>9.2619817700676279</v>
      </c>
      <c r="M391" s="46">
        <f t="shared" si="39"/>
        <v>0</v>
      </c>
      <c r="N391" s="46">
        <f t="shared" si="40"/>
        <v>2.3522493384304084E-2</v>
      </c>
      <c r="O391" s="41" t="s">
        <v>1</v>
      </c>
      <c r="P391" s="50">
        <v>3414</v>
      </c>
      <c r="Q391" s="30">
        <v>3420.8</v>
      </c>
      <c r="R391" s="33">
        <v>37.187744559999999</v>
      </c>
      <c r="S391" s="46">
        <f t="shared" si="41"/>
        <v>0.38224051749485444</v>
      </c>
      <c r="T391" s="46">
        <f t="shared" si="42"/>
        <v>0.58218171126139906</v>
      </c>
      <c r="U391" s="50">
        <f>IF($I391&lt;$P391,1,0)</f>
        <v>1</v>
      </c>
      <c r="V391" s="50">
        <f>IF($I391=$P391,1,0)</f>
        <v>0</v>
      </c>
      <c r="W391" s="50">
        <f>IF($I391&gt;$P391,1,0)</f>
        <v>0</v>
      </c>
    </row>
    <row r="392" spans="1:23" x14ac:dyDescent="0.6">
      <c r="A392" s="41" t="s">
        <v>385</v>
      </c>
      <c r="B392" s="50">
        <v>100</v>
      </c>
      <c r="C392" s="25" t="s">
        <v>973</v>
      </c>
      <c r="D392" s="25" t="s">
        <v>978</v>
      </c>
      <c r="E392" s="25" t="s">
        <v>984</v>
      </c>
      <c r="F392" s="50">
        <v>1</v>
      </c>
      <c r="G392" s="50">
        <f t="shared" si="37"/>
        <v>3427</v>
      </c>
      <c r="H392" s="57">
        <v>3813</v>
      </c>
      <c r="I392" s="32">
        <v>3427</v>
      </c>
      <c r="J392" s="32">
        <v>3427.8</v>
      </c>
      <c r="K392" s="32">
        <v>10.01</v>
      </c>
      <c r="L392" s="46">
        <f t="shared" si="38"/>
        <v>11.263495768894076</v>
      </c>
      <c r="M392" s="46">
        <f t="shared" si="39"/>
        <v>0</v>
      </c>
      <c r="N392" s="46">
        <f t="shared" si="40"/>
        <v>2.3344032681651063E-2</v>
      </c>
      <c r="O392" s="41" t="s">
        <v>1</v>
      </c>
      <c r="P392" s="50">
        <v>3445</v>
      </c>
      <c r="Q392" s="30">
        <v>3448.8</v>
      </c>
      <c r="R392" s="33">
        <v>38.231964840000003</v>
      </c>
      <c r="S392" s="46">
        <f t="shared" si="41"/>
        <v>0.52524073533702942</v>
      </c>
      <c r="T392" s="46">
        <f t="shared" si="42"/>
        <v>0.63612489057485211</v>
      </c>
      <c r="U392" s="50">
        <f>IF($I392&lt;$P392,1,0)</f>
        <v>1</v>
      </c>
      <c r="V392" s="50">
        <f>IF($I392=$P392,1,0)</f>
        <v>0</v>
      </c>
      <c r="W392" s="50">
        <f>IF($I392&gt;$P392,1,0)</f>
        <v>0</v>
      </c>
    </row>
    <row r="393" spans="1:23" x14ac:dyDescent="0.6">
      <c r="A393" s="41" t="s">
        <v>386</v>
      </c>
      <c r="B393" s="50">
        <v>100</v>
      </c>
      <c r="C393" s="25" t="s">
        <v>973</v>
      </c>
      <c r="D393" s="25" t="s">
        <v>978</v>
      </c>
      <c r="E393" s="25" t="s">
        <v>984</v>
      </c>
      <c r="F393" s="50">
        <v>2</v>
      </c>
      <c r="G393" s="50">
        <f t="shared" si="37"/>
        <v>3425</v>
      </c>
      <c r="H393" s="57">
        <v>3866</v>
      </c>
      <c r="I393" s="32">
        <v>3425</v>
      </c>
      <c r="J393" s="32">
        <v>3426</v>
      </c>
      <c r="K393" s="32">
        <v>10.01</v>
      </c>
      <c r="L393" s="46">
        <f t="shared" si="38"/>
        <v>12.875912408759124</v>
      </c>
      <c r="M393" s="46">
        <f t="shared" si="39"/>
        <v>0</v>
      </c>
      <c r="N393" s="46">
        <f t="shared" si="40"/>
        <v>2.9197080291970805E-2</v>
      </c>
      <c r="O393" s="41" t="s">
        <v>1</v>
      </c>
      <c r="P393" s="50">
        <v>3437</v>
      </c>
      <c r="Q393" s="30">
        <v>3441.2</v>
      </c>
      <c r="R393" s="33">
        <v>37.260260359999997</v>
      </c>
      <c r="S393" s="46">
        <f t="shared" si="41"/>
        <v>0.3503649635036496</v>
      </c>
      <c r="T393" s="46">
        <f t="shared" si="42"/>
        <v>0.47299270072992167</v>
      </c>
      <c r="U393" s="50">
        <f>IF($I393&lt;$P393,1,0)</f>
        <v>1</v>
      </c>
      <c r="V393" s="50">
        <f>IF($I393=$P393,1,0)</f>
        <v>0</v>
      </c>
      <c r="W393" s="50">
        <f>IF($I393&gt;$P393,1,0)</f>
        <v>0</v>
      </c>
    </row>
    <row r="394" spans="1:23" x14ac:dyDescent="0.6">
      <c r="A394" s="41" t="s">
        <v>387</v>
      </c>
      <c r="B394" s="50">
        <v>100</v>
      </c>
      <c r="C394" s="25" t="s">
        <v>973</v>
      </c>
      <c r="D394" s="25" t="s">
        <v>978</v>
      </c>
      <c r="E394" s="25" t="s">
        <v>982</v>
      </c>
      <c r="F394" s="50">
        <v>3</v>
      </c>
      <c r="G394" s="50">
        <f t="shared" si="37"/>
        <v>3448</v>
      </c>
      <c r="H394" s="57">
        <v>3885</v>
      </c>
      <c r="I394" s="32">
        <v>3448</v>
      </c>
      <c r="J394" s="32">
        <v>3449.6</v>
      </c>
      <c r="K394" s="32">
        <v>10.01</v>
      </c>
      <c r="L394" s="46">
        <f t="shared" si="38"/>
        <v>12.674013921113689</v>
      </c>
      <c r="M394" s="46">
        <f t="shared" si="39"/>
        <v>0</v>
      </c>
      <c r="N394" s="46">
        <f t="shared" si="40"/>
        <v>4.640371229698112E-2</v>
      </c>
      <c r="O394" s="41" t="s">
        <v>1</v>
      </c>
      <c r="P394" s="50">
        <v>3463</v>
      </c>
      <c r="Q394" s="30">
        <v>3466.8</v>
      </c>
      <c r="R394" s="33">
        <v>37.883785920000001</v>
      </c>
      <c r="S394" s="46">
        <f t="shared" si="41"/>
        <v>0.43503480278422274</v>
      </c>
      <c r="T394" s="46">
        <f t="shared" si="42"/>
        <v>0.54524361948956446</v>
      </c>
      <c r="U394" s="50">
        <f>IF($I394&lt;$P394,1,0)</f>
        <v>1</v>
      </c>
      <c r="V394" s="50">
        <f>IF($I394=$P394,1,0)</f>
        <v>0</v>
      </c>
      <c r="W394" s="50">
        <f>IF($I394&gt;$P394,1,0)</f>
        <v>0</v>
      </c>
    </row>
    <row r="395" spans="1:23" x14ac:dyDescent="0.6">
      <c r="A395" s="41" t="s">
        <v>388</v>
      </c>
      <c r="B395" s="50">
        <v>100</v>
      </c>
      <c r="C395" s="25" t="s">
        <v>973</v>
      </c>
      <c r="D395" s="25" t="s">
        <v>978</v>
      </c>
      <c r="E395" s="25" t="s">
        <v>982</v>
      </c>
      <c r="F395" s="50">
        <v>4</v>
      </c>
      <c r="G395" s="50">
        <f t="shared" si="37"/>
        <v>3434</v>
      </c>
      <c r="H395" s="57">
        <v>3663</v>
      </c>
      <c r="I395" s="32">
        <v>3434</v>
      </c>
      <c r="J395" s="32">
        <v>3435</v>
      </c>
      <c r="K395" s="32">
        <v>10.01</v>
      </c>
      <c r="L395" s="46">
        <f t="shared" si="38"/>
        <v>6.6686080372743151</v>
      </c>
      <c r="M395" s="46">
        <f t="shared" si="39"/>
        <v>0</v>
      </c>
      <c r="N395" s="46">
        <f t="shared" si="40"/>
        <v>2.9120559114735003E-2</v>
      </c>
      <c r="O395" s="41" t="s">
        <v>1</v>
      </c>
      <c r="P395" s="50">
        <v>3453</v>
      </c>
      <c r="Q395" s="30">
        <v>3457.4</v>
      </c>
      <c r="R395" s="33">
        <v>37.811370320000002</v>
      </c>
      <c r="S395" s="46">
        <f t="shared" si="41"/>
        <v>0.55329062317996502</v>
      </c>
      <c r="T395" s="46">
        <f t="shared" si="42"/>
        <v>0.68142108328480178</v>
      </c>
      <c r="U395" s="50">
        <f>IF($I395&lt;$P395,1,0)</f>
        <v>1</v>
      </c>
      <c r="V395" s="50">
        <f>IF($I395=$P395,1,0)</f>
        <v>0</v>
      </c>
      <c r="W395" s="50">
        <f>IF($I395&gt;$P395,1,0)</f>
        <v>0</v>
      </c>
    </row>
    <row r="396" spans="1:23" x14ac:dyDescent="0.6">
      <c r="A396" s="41" t="s">
        <v>389</v>
      </c>
      <c r="B396" s="50">
        <v>100</v>
      </c>
      <c r="C396" s="25" t="s">
        <v>973</v>
      </c>
      <c r="D396" s="25" t="s">
        <v>978</v>
      </c>
      <c r="E396" s="25" t="s">
        <v>982</v>
      </c>
      <c r="F396" s="50">
        <v>5</v>
      </c>
      <c r="G396" s="50">
        <f t="shared" si="37"/>
        <v>3413</v>
      </c>
      <c r="H396" s="57">
        <v>3820</v>
      </c>
      <c r="I396" s="32">
        <v>3413</v>
      </c>
      <c r="J396" s="32">
        <v>3414.4</v>
      </c>
      <c r="K396" s="32">
        <v>10</v>
      </c>
      <c r="L396" s="46">
        <f t="shared" si="38"/>
        <v>11.924992675065925</v>
      </c>
      <c r="M396" s="46">
        <f t="shared" si="39"/>
        <v>0</v>
      </c>
      <c r="N396" s="46">
        <f t="shared" si="40"/>
        <v>4.1019630823325257E-2</v>
      </c>
      <c r="O396" s="41" t="s">
        <v>1</v>
      </c>
      <c r="P396" s="50">
        <v>3428</v>
      </c>
      <c r="Q396" s="30">
        <v>3431.4</v>
      </c>
      <c r="R396" s="33">
        <v>38.580160360000001</v>
      </c>
      <c r="S396" s="46">
        <f t="shared" si="41"/>
        <v>0.43949604453559915</v>
      </c>
      <c r="T396" s="46">
        <f t="shared" si="42"/>
        <v>0.53911514796367099</v>
      </c>
      <c r="U396" s="50">
        <f>IF($I396&lt;$P396,1,0)</f>
        <v>1</v>
      </c>
      <c r="V396" s="50">
        <f>IF($I396=$P396,1,0)</f>
        <v>0</v>
      </c>
      <c r="W396" s="50">
        <f>IF($I396&gt;$P396,1,0)</f>
        <v>0</v>
      </c>
    </row>
    <row r="397" spans="1:23" x14ac:dyDescent="0.6">
      <c r="A397" s="41" t="s">
        <v>390</v>
      </c>
      <c r="B397" s="50">
        <v>100</v>
      </c>
      <c r="C397" s="25" t="s">
        <v>973</v>
      </c>
      <c r="D397" s="25" t="s">
        <v>978</v>
      </c>
      <c r="E397" s="25" t="s">
        <v>982</v>
      </c>
      <c r="F397" s="50">
        <v>6</v>
      </c>
      <c r="G397" s="50">
        <f t="shared" si="37"/>
        <v>3438</v>
      </c>
      <c r="H397" s="57">
        <v>3829</v>
      </c>
      <c r="I397" s="32">
        <v>3438</v>
      </c>
      <c r="J397" s="32">
        <v>3440.6</v>
      </c>
      <c r="K397" s="32">
        <v>10.01</v>
      </c>
      <c r="L397" s="46">
        <f t="shared" si="38"/>
        <v>11.372891215823152</v>
      </c>
      <c r="M397" s="46">
        <f t="shared" si="39"/>
        <v>0</v>
      </c>
      <c r="N397" s="46">
        <f t="shared" si="40"/>
        <v>7.5625363583476116E-2</v>
      </c>
      <c r="O397" s="41" t="s">
        <v>1</v>
      </c>
      <c r="P397" s="50">
        <v>3452</v>
      </c>
      <c r="Q397" s="30">
        <v>3458.2</v>
      </c>
      <c r="R397" s="33">
        <v>38.890118659999999</v>
      </c>
      <c r="S397" s="46">
        <f t="shared" si="41"/>
        <v>0.40721349621873182</v>
      </c>
      <c r="T397" s="46">
        <f t="shared" si="42"/>
        <v>0.58755090168702206</v>
      </c>
      <c r="U397" s="50">
        <f>IF($I397&lt;$P397,1,0)</f>
        <v>1</v>
      </c>
      <c r="V397" s="50">
        <f>IF($I397=$P397,1,0)</f>
        <v>0</v>
      </c>
      <c r="W397" s="50">
        <f>IF($I397&gt;$P397,1,0)</f>
        <v>0</v>
      </c>
    </row>
    <row r="398" spans="1:23" x14ac:dyDescent="0.6">
      <c r="A398" s="41" t="s">
        <v>391</v>
      </c>
      <c r="B398" s="50">
        <v>100</v>
      </c>
      <c r="C398" s="25" t="s">
        <v>973</v>
      </c>
      <c r="D398" s="25" t="s">
        <v>978</v>
      </c>
      <c r="E398" s="25" t="s">
        <v>982</v>
      </c>
      <c r="F398" s="50">
        <v>7</v>
      </c>
      <c r="G398" s="50">
        <f t="shared" si="37"/>
        <v>3429</v>
      </c>
      <c r="H398" s="57">
        <v>3753</v>
      </c>
      <c r="I398" s="32">
        <v>3429</v>
      </c>
      <c r="J398" s="32">
        <v>3429.8</v>
      </c>
      <c r="K398" s="32">
        <v>10.01</v>
      </c>
      <c r="L398" s="46">
        <f t="shared" si="38"/>
        <v>9.4488188976377945</v>
      </c>
      <c r="M398" s="46">
        <f t="shared" si="39"/>
        <v>0</v>
      </c>
      <c r="N398" s="46">
        <f t="shared" si="40"/>
        <v>2.3330417031209735E-2</v>
      </c>
      <c r="O398" s="41" t="s">
        <v>1</v>
      </c>
      <c r="P398" s="50">
        <v>3447</v>
      </c>
      <c r="Q398" s="30">
        <v>3449.2</v>
      </c>
      <c r="R398" s="33">
        <v>37.17612338</v>
      </c>
      <c r="S398" s="46">
        <f t="shared" si="41"/>
        <v>0.52493438320209973</v>
      </c>
      <c r="T398" s="46">
        <f t="shared" si="42"/>
        <v>0.58909303003790658</v>
      </c>
      <c r="U398" s="50">
        <f>IF($I398&lt;$P398,1,0)</f>
        <v>1</v>
      </c>
      <c r="V398" s="50">
        <f>IF($I398=$P398,1,0)</f>
        <v>0</v>
      </c>
      <c r="W398" s="50">
        <f>IF($I398&gt;$P398,1,0)</f>
        <v>0</v>
      </c>
    </row>
    <row r="399" spans="1:23" x14ac:dyDescent="0.6">
      <c r="A399" s="41" t="s">
        <v>392</v>
      </c>
      <c r="B399" s="50">
        <v>100</v>
      </c>
      <c r="C399" s="25" t="s">
        <v>973</v>
      </c>
      <c r="D399" s="25" t="s">
        <v>978</v>
      </c>
      <c r="E399" s="25" t="s">
        <v>982</v>
      </c>
      <c r="F399" s="50">
        <v>8</v>
      </c>
      <c r="G399" s="50">
        <f t="shared" si="37"/>
        <v>3431</v>
      </c>
      <c r="H399" s="57">
        <v>3901</v>
      </c>
      <c r="I399" s="32">
        <v>3431</v>
      </c>
      <c r="J399" s="32">
        <v>3431.6</v>
      </c>
      <c r="K399" s="32">
        <v>10.01</v>
      </c>
      <c r="L399" s="46">
        <f t="shared" si="38"/>
        <v>13.698630136986301</v>
      </c>
      <c r="M399" s="46">
        <f t="shared" si="39"/>
        <v>0</v>
      </c>
      <c r="N399" s="46">
        <f t="shared" si="40"/>
        <v>1.7487612940830927E-2</v>
      </c>
      <c r="O399" s="41" t="s">
        <v>1</v>
      </c>
      <c r="P399" s="50">
        <v>3449</v>
      </c>
      <c r="Q399" s="30">
        <v>3451.4</v>
      </c>
      <c r="R399" s="33">
        <v>38.952720020000001</v>
      </c>
      <c r="S399" s="46">
        <f t="shared" si="41"/>
        <v>0.52462838822500724</v>
      </c>
      <c r="T399" s="46">
        <f t="shared" si="42"/>
        <v>0.59457883998834427</v>
      </c>
      <c r="U399" s="50">
        <f>IF($I399&lt;$P399,1,0)</f>
        <v>1</v>
      </c>
      <c r="V399" s="50">
        <f>IF($I399=$P399,1,0)</f>
        <v>0</v>
      </c>
      <c r="W399" s="50">
        <f>IF($I399&gt;$P399,1,0)</f>
        <v>0</v>
      </c>
    </row>
    <row r="400" spans="1:23" x14ac:dyDescent="0.6">
      <c r="A400" s="41" t="s">
        <v>393</v>
      </c>
      <c r="B400" s="50">
        <v>100</v>
      </c>
      <c r="C400" s="25" t="s">
        <v>973</v>
      </c>
      <c r="D400" s="25" t="s">
        <v>978</v>
      </c>
      <c r="E400" s="25" t="s">
        <v>982</v>
      </c>
      <c r="F400" s="50">
        <v>9</v>
      </c>
      <c r="G400" s="50">
        <f t="shared" si="37"/>
        <v>3449</v>
      </c>
      <c r="H400" s="57">
        <v>3816</v>
      </c>
      <c r="I400" s="32">
        <v>3449</v>
      </c>
      <c r="J400" s="32">
        <v>3449.6</v>
      </c>
      <c r="K400" s="32">
        <v>10</v>
      </c>
      <c r="L400" s="46">
        <f t="shared" si="38"/>
        <v>10.640765439257756</v>
      </c>
      <c r="M400" s="46">
        <f t="shared" si="39"/>
        <v>0</v>
      </c>
      <c r="N400" s="46">
        <f t="shared" si="40"/>
        <v>1.7396346767176257E-2</v>
      </c>
      <c r="O400" s="41" t="s">
        <v>1</v>
      </c>
      <c r="P400" s="50">
        <v>3466</v>
      </c>
      <c r="Q400" s="30">
        <v>3470</v>
      </c>
      <c r="R400" s="33">
        <v>38.6156188</v>
      </c>
      <c r="S400" s="46">
        <f t="shared" si="41"/>
        <v>0.49289649173673533</v>
      </c>
      <c r="T400" s="46">
        <f t="shared" si="42"/>
        <v>0.60887213685126118</v>
      </c>
      <c r="U400" s="50">
        <f>IF($I400&lt;$P400,1,0)</f>
        <v>1</v>
      </c>
      <c r="V400" s="50">
        <f>IF($I400=$P400,1,0)</f>
        <v>0</v>
      </c>
      <c r="W400" s="50">
        <f>IF($I400&gt;$P400,1,0)</f>
        <v>0</v>
      </c>
    </row>
    <row r="401" spans="1:23" x14ac:dyDescent="0.6">
      <c r="A401" s="41" t="s">
        <v>394</v>
      </c>
      <c r="B401" s="50">
        <v>100</v>
      </c>
      <c r="C401" s="25" t="s">
        <v>973</v>
      </c>
      <c r="D401" s="25" t="s">
        <v>978</v>
      </c>
      <c r="E401" s="25" t="s">
        <v>982</v>
      </c>
      <c r="F401" s="50">
        <v>10</v>
      </c>
      <c r="G401" s="50">
        <f t="shared" si="37"/>
        <v>3402</v>
      </c>
      <c r="H401" s="57">
        <v>4016</v>
      </c>
      <c r="I401" s="32">
        <v>3402</v>
      </c>
      <c r="J401" s="32">
        <v>3402.6</v>
      </c>
      <c r="K401" s="32">
        <v>10.01</v>
      </c>
      <c r="L401" s="46">
        <f t="shared" si="38"/>
        <v>18.048206937095827</v>
      </c>
      <c r="M401" s="46">
        <f t="shared" si="39"/>
        <v>0</v>
      </c>
      <c r="N401" s="46">
        <f t="shared" si="40"/>
        <v>1.7636684303348298E-2</v>
      </c>
      <c r="O401" s="41" t="s">
        <v>1</v>
      </c>
      <c r="P401" s="50">
        <v>3415</v>
      </c>
      <c r="Q401" s="30">
        <v>3420</v>
      </c>
      <c r="R401" s="33">
        <v>37.995443420000001</v>
      </c>
      <c r="S401" s="46">
        <f t="shared" si="41"/>
        <v>0.38212815990593768</v>
      </c>
      <c r="T401" s="46">
        <f t="shared" si="42"/>
        <v>0.52910052910052907</v>
      </c>
      <c r="U401" s="50">
        <f>IF($I401&lt;$P401,1,0)</f>
        <v>1</v>
      </c>
      <c r="V401" s="50">
        <f>IF($I401=$P401,1,0)</f>
        <v>0</v>
      </c>
      <c r="W401" s="50">
        <f>IF($I401&gt;$P401,1,0)</f>
        <v>0</v>
      </c>
    </row>
    <row r="402" spans="1:23" x14ac:dyDescent="0.6">
      <c r="A402" s="32"/>
      <c r="B402" s="32"/>
      <c r="C402" s="32"/>
      <c r="D402" s="32"/>
      <c r="E402" s="32"/>
      <c r="F402" s="32"/>
      <c r="G402" s="32"/>
      <c r="H402" s="57"/>
      <c r="I402" s="54"/>
      <c r="J402" s="54"/>
      <c r="K402" s="57"/>
      <c r="L402" s="57"/>
      <c r="M402" s="57"/>
      <c r="N402" s="57"/>
      <c r="O402" s="32"/>
      <c r="P402" s="57"/>
      <c r="Q402" s="34"/>
      <c r="R402" s="40"/>
      <c r="S402" s="40"/>
      <c r="T402" s="40"/>
      <c r="U402" s="57">
        <f>SUM(U2:U401)</f>
        <v>398</v>
      </c>
      <c r="V402" s="57">
        <f>SUM(V2:V401)</f>
        <v>2</v>
      </c>
      <c r="W402" s="57">
        <f>SUM(W2:W201)</f>
        <v>0</v>
      </c>
    </row>
    <row r="403" spans="1:23" x14ac:dyDescent="0.6">
      <c r="A403" s="32"/>
      <c r="B403" s="32"/>
      <c r="C403" s="32"/>
      <c r="D403" s="32"/>
      <c r="E403" s="32"/>
      <c r="F403" s="32"/>
      <c r="G403" s="32"/>
      <c r="H403" s="57"/>
      <c r="I403" s="54"/>
      <c r="J403" s="54"/>
      <c r="K403" s="57"/>
      <c r="L403" s="57"/>
      <c r="M403" s="57"/>
      <c r="N403" s="57"/>
      <c r="O403" s="32"/>
      <c r="P403" s="57"/>
      <c r="Q403" s="34"/>
      <c r="R403" s="40"/>
      <c r="S403" s="40"/>
      <c r="T403" s="40"/>
      <c r="U403" s="57"/>
      <c r="V403" s="57"/>
      <c r="W403" s="57"/>
    </row>
    <row r="404" spans="1:23" x14ac:dyDescent="0.6">
      <c r="A404" s="32"/>
      <c r="B404" s="32"/>
      <c r="C404" s="32"/>
      <c r="D404" s="32"/>
      <c r="E404" s="32"/>
      <c r="F404" s="32"/>
      <c r="G404" s="32"/>
      <c r="H404" s="57"/>
      <c r="I404" s="54"/>
      <c r="J404" s="54"/>
      <c r="K404" s="57"/>
      <c r="L404" s="57"/>
      <c r="M404" s="57"/>
      <c r="N404" s="57"/>
      <c r="O404" s="32"/>
      <c r="P404" s="57"/>
      <c r="Q404" s="34"/>
      <c r="R404" s="40"/>
      <c r="S404" s="40"/>
      <c r="T404" s="40"/>
      <c r="U404" s="57"/>
      <c r="V404" s="57"/>
      <c r="W404" s="57"/>
    </row>
    <row r="405" spans="1:23" s="68" customFormat="1" ht="33" x14ac:dyDescent="0.6">
      <c r="A405" s="67" t="s">
        <v>0</v>
      </c>
      <c r="B405" s="69" t="s">
        <v>969</v>
      </c>
      <c r="C405" s="69" t="s">
        <v>965</v>
      </c>
      <c r="D405" s="69" t="s">
        <v>966</v>
      </c>
      <c r="E405" s="69" t="s">
        <v>967</v>
      </c>
      <c r="F405" s="69" t="s">
        <v>968</v>
      </c>
      <c r="G405" s="69" t="s">
        <v>1034</v>
      </c>
      <c r="H405" s="70" t="s">
        <v>1040</v>
      </c>
      <c r="I405" s="71" t="s">
        <v>1039</v>
      </c>
      <c r="J405" s="71" t="s">
        <v>1038</v>
      </c>
      <c r="K405" s="70" t="s">
        <v>1043</v>
      </c>
      <c r="L405" s="70" t="s">
        <v>1050</v>
      </c>
      <c r="M405" s="70" t="s">
        <v>1042</v>
      </c>
      <c r="N405" s="70" t="s">
        <v>1041</v>
      </c>
      <c r="O405" s="72"/>
      <c r="P405" s="70" t="s">
        <v>1045</v>
      </c>
      <c r="Q405" s="70" t="s">
        <v>1046</v>
      </c>
      <c r="R405" s="70" t="s">
        <v>1044</v>
      </c>
      <c r="S405" s="70" t="s">
        <v>1047</v>
      </c>
      <c r="T405" s="70" t="s">
        <v>1048</v>
      </c>
      <c r="U405" s="70" t="s">
        <v>1035</v>
      </c>
      <c r="V405" s="70" t="s">
        <v>1036</v>
      </c>
      <c r="W405" s="70" t="s">
        <v>1037</v>
      </c>
    </row>
    <row r="406" spans="1:23" x14ac:dyDescent="0.6">
      <c r="B406" s="27" t="s">
        <v>969</v>
      </c>
      <c r="C406" s="27"/>
      <c r="D406" s="27"/>
      <c r="E406" s="27"/>
      <c r="F406" s="27"/>
      <c r="G406" s="27"/>
      <c r="H406" s="57"/>
    </row>
    <row r="407" spans="1:23" x14ac:dyDescent="0.6">
      <c r="B407" s="44">
        <v>25</v>
      </c>
      <c r="C407" s="44"/>
      <c r="D407" s="44"/>
      <c r="E407" s="44"/>
      <c r="F407" s="44"/>
      <c r="G407" s="44"/>
      <c r="H407" s="57"/>
      <c r="K407" s="58">
        <f>AVERAGEIF($B$2:$B$401, $B407, K$1:K$401)</f>
        <v>2.500874999999998</v>
      </c>
      <c r="L407" s="73">
        <f>AVERAGEIF($B$2:$B$401, $B407, L$1:L$401)</f>
        <v>20.677510183627426</v>
      </c>
      <c r="M407" s="73">
        <f>AVERAGEIF($B$2:$B$401, $B407, M$1:M$401)</f>
        <v>0</v>
      </c>
      <c r="N407" s="73">
        <f>AVERAGEIF($B$2:$B$401, $B407, N$1:N$401)</f>
        <v>5.9205990665430273E-2</v>
      </c>
      <c r="P407" s="58"/>
      <c r="Q407" s="58"/>
      <c r="R407" s="58">
        <f>AVERAGEIF($B$2:$B$401, $B407, R$1:R$401)</f>
        <v>6.0766340005000004</v>
      </c>
      <c r="S407" s="73">
        <f>AVERAGEIF($B$2:$B$401, $B407, S$1:S$401)</f>
        <v>0.77021254200689104</v>
      </c>
      <c r="T407" s="73">
        <f>AVERAGEIF($B$2:$B$401, $B407, T$1:T$401)</f>
        <v>1.189452366119377</v>
      </c>
    </row>
    <row r="408" spans="1:23" x14ac:dyDescent="0.6">
      <c r="B408" s="44">
        <v>50</v>
      </c>
      <c r="C408" s="44"/>
      <c r="D408" s="44"/>
      <c r="E408" s="44"/>
      <c r="F408" s="44"/>
      <c r="G408" s="44"/>
      <c r="H408" s="57"/>
      <c r="K408" s="58">
        <f t="shared" ref="K408:N410" si="43">AVERAGEIF($B$2:$B$401, $B408, K$1:K$401)</f>
        <v>4.976999999999995</v>
      </c>
      <c r="L408" s="73">
        <f t="shared" si="43"/>
        <v>22.2642863090623</v>
      </c>
      <c r="M408" s="73">
        <f t="shared" si="43"/>
        <v>0</v>
      </c>
      <c r="N408" s="73">
        <f t="shared" si="43"/>
        <v>6.5672327653119436E-2</v>
      </c>
      <c r="P408" s="58"/>
      <c r="Q408" s="58"/>
      <c r="R408" s="58">
        <f t="shared" ref="R408:T410" si="44">AVERAGEIF($B$2:$B$401, $B408, R$1:R$401)</f>
        <v>14.205324679000004</v>
      </c>
      <c r="S408" s="73">
        <f t="shared" si="44"/>
        <v>0.81569622421015819</v>
      </c>
      <c r="T408" s="73">
        <f t="shared" si="44"/>
        <v>1.1013369890394578</v>
      </c>
    </row>
    <row r="409" spans="1:23" x14ac:dyDescent="0.6">
      <c r="B409" s="44">
        <v>75</v>
      </c>
      <c r="C409" s="44"/>
      <c r="D409" s="44"/>
      <c r="E409" s="44"/>
      <c r="F409" s="44"/>
      <c r="G409" s="44"/>
      <c r="H409" s="57"/>
      <c r="K409" s="58">
        <f t="shared" si="43"/>
        <v>7.4761249999999944</v>
      </c>
      <c r="L409" s="73">
        <f t="shared" si="43"/>
        <v>17.023288616981912</v>
      </c>
      <c r="M409" s="73">
        <f t="shared" si="43"/>
        <v>0</v>
      </c>
      <c r="N409" s="73">
        <f t="shared" si="43"/>
        <v>4.5289263313948239E-2</v>
      </c>
      <c r="P409" s="58"/>
      <c r="Q409" s="58"/>
      <c r="R409" s="58">
        <f t="shared" si="44"/>
        <v>24.736417436250015</v>
      </c>
      <c r="S409" s="73">
        <f t="shared" si="44"/>
        <v>0.63635185086238688</v>
      </c>
      <c r="T409" s="73">
        <f t="shared" si="44"/>
        <v>0.85636896514314065</v>
      </c>
    </row>
    <row r="410" spans="1:23" x14ac:dyDescent="0.6">
      <c r="B410" s="44">
        <v>100</v>
      </c>
      <c r="C410" s="44"/>
      <c r="D410" s="44"/>
      <c r="E410" s="44"/>
      <c r="F410" s="44"/>
      <c r="G410" s="44"/>
      <c r="H410" s="57"/>
      <c r="K410" s="58">
        <f t="shared" si="43"/>
        <v>9.9771249999999938</v>
      </c>
      <c r="L410" s="73">
        <f t="shared" si="43"/>
        <v>13.694702212629725</v>
      </c>
      <c r="M410" s="73">
        <f t="shared" si="43"/>
        <v>0</v>
      </c>
      <c r="N410" s="73">
        <f t="shared" si="43"/>
        <v>4.5383863508068931E-2</v>
      </c>
      <c r="P410" s="58"/>
      <c r="Q410" s="58"/>
      <c r="R410" s="58">
        <f t="shared" si="44"/>
        <v>38.345687096999981</v>
      </c>
      <c r="S410" s="73">
        <f t="shared" si="44"/>
        <v>0.57632903956160986</v>
      </c>
      <c r="T410" s="73">
        <f t="shared" si="44"/>
        <v>0.76136845411848841</v>
      </c>
    </row>
    <row r="411" spans="1:23" x14ac:dyDescent="0.6">
      <c r="B411" s="27" t="s">
        <v>965</v>
      </c>
      <c r="C411" s="27"/>
      <c r="D411" s="27"/>
      <c r="E411" s="27"/>
      <c r="F411" s="27"/>
      <c r="G411" s="27"/>
      <c r="H411" s="57"/>
      <c r="L411" s="73"/>
      <c r="M411" s="73"/>
      <c r="N411" s="73"/>
      <c r="P411" s="58"/>
      <c r="Q411" s="58"/>
      <c r="R411" s="49"/>
      <c r="S411" s="73"/>
      <c r="T411" s="73"/>
    </row>
    <row r="412" spans="1:23" x14ac:dyDescent="0.6">
      <c r="B412" s="37" t="s">
        <v>971</v>
      </c>
      <c r="C412" s="37"/>
      <c r="D412" s="37"/>
      <c r="E412" s="37"/>
      <c r="F412" s="37"/>
      <c r="G412" s="37"/>
      <c r="H412" s="57"/>
      <c r="K412" s="58">
        <f t="shared" ref="K412:N413" si="45">AVERAGEIF($C$2:$C$401, $B412, K$1:K$401)</f>
        <v>5.3851758793969804</v>
      </c>
      <c r="L412" s="73">
        <f t="shared" si="45"/>
        <v>23.181501410784456</v>
      </c>
      <c r="M412" s="73">
        <f t="shared" si="45"/>
        <v>0</v>
      </c>
      <c r="N412" s="73">
        <f t="shared" si="45"/>
        <v>5.6314834560288463E-2</v>
      </c>
      <c r="P412" s="58"/>
      <c r="Q412" s="58"/>
      <c r="R412" s="58">
        <f t="shared" ref="R412:T413" si="46">AVERAGEIF($C$2:$C$401, $B412, R$1:R$401)</f>
        <v>17.888147371256281</v>
      </c>
      <c r="S412" s="73">
        <f t="shared" si="46"/>
        <v>0.79363835761064494</v>
      </c>
      <c r="T412" s="73">
        <f t="shared" si="46"/>
        <v>1.1732198613488447</v>
      </c>
    </row>
    <row r="413" spans="1:23" x14ac:dyDescent="0.6">
      <c r="B413" s="53" t="s">
        <v>974</v>
      </c>
      <c r="C413" s="53"/>
      <c r="D413" s="53"/>
      <c r="E413" s="53"/>
      <c r="F413" s="53"/>
      <c r="G413" s="53"/>
      <c r="H413" s="57"/>
      <c r="K413" s="58">
        <f t="shared" si="45"/>
        <v>5.407949999999996</v>
      </c>
      <c r="L413" s="73">
        <f t="shared" si="45"/>
        <v>15.581930464010565</v>
      </c>
      <c r="M413" s="73">
        <f t="shared" si="45"/>
        <v>0</v>
      </c>
      <c r="N413" s="73">
        <f t="shared" si="45"/>
        <v>3.6931369175462428E-2</v>
      </c>
      <c r="P413" s="58"/>
      <c r="Q413" s="58"/>
      <c r="R413" s="58">
        <f t="shared" si="46"/>
        <v>17.628841636900006</v>
      </c>
      <c r="S413" s="73">
        <f t="shared" si="46"/>
        <v>0.56328752918182434</v>
      </c>
      <c r="T413" s="73">
        <f t="shared" si="46"/>
        <v>0.81157067027289742</v>
      </c>
    </row>
    <row r="414" spans="1:23" x14ac:dyDescent="0.6">
      <c r="B414" s="27" t="s">
        <v>966</v>
      </c>
      <c r="C414" s="27"/>
      <c r="D414" s="27"/>
      <c r="E414" s="27"/>
      <c r="F414" s="27"/>
      <c r="G414" s="27"/>
      <c r="H414" s="57"/>
      <c r="L414" s="73"/>
      <c r="M414" s="73"/>
      <c r="N414" s="73"/>
      <c r="P414" s="58"/>
      <c r="Q414" s="58"/>
      <c r="R414" s="49"/>
      <c r="S414" s="73"/>
      <c r="T414" s="73"/>
    </row>
    <row r="415" spans="1:23" x14ac:dyDescent="0.6">
      <c r="B415" s="53" t="s">
        <v>977</v>
      </c>
      <c r="C415" s="53"/>
      <c r="D415" s="53"/>
      <c r="E415" s="53"/>
      <c r="F415" s="53"/>
      <c r="G415" s="53"/>
      <c r="H415" s="57"/>
      <c r="K415" s="58">
        <f t="shared" ref="K415:N416" si="47">AVERAGEIF($D$2:$D$401, $B415, K$1:K$401)</f>
        <v>5.385025125628137</v>
      </c>
      <c r="L415" s="73">
        <f t="shared" si="47"/>
        <v>22.362919294750686</v>
      </c>
      <c r="M415" s="73">
        <f t="shared" si="47"/>
        <v>0</v>
      </c>
      <c r="N415" s="73">
        <f t="shared" si="47"/>
        <v>5.2860787146371796E-2</v>
      </c>
      <c r="P415" s="58"/>
      <c r="Q415" s="58"/>
      <c r="R415" s="58">
        <f t="shared" ref="R415:T416" si="48">AVERAGEIF($D$2:$D$401, $B415, R$1:R$401)</f>
        <v>17.766705124522616</v>
      </c>
      <c r="S415" s="73">
        <f t="shared" si="48"/>
        <v>0.74922257913747448</v>
      </c>
      <c r="T415" s="73">
        <f t="shared" si="48"/>
        <v>1.089425530829822</v>
      </c>
    </row>
    <row r="416" spans="1:23" x14ac:dyDescent="0.6">
      <c r="B416" s="53" t="s">
        <v>979</v>
      </c>
      <c r="C416" s="53"/>
      <c r="D416" s="53"/>
      <c r="E416" s="53"/>
      <c r="F416" s="53"/>
      <c r="G416" s="53"/>
      <c r="H416" s="57"/>
      <c r="K416" s="58">
        <f t="shared" si="47"/>
        <v>5.4080999999999957</v>
      </c>
      <c r="L416" s="73">
        <f t="shared" si="47"/>
        <v>16.39641966946418</v>
      </c>
      <c r="M416" s="73">
        <f t="shared" si="47"/>
        <v>0</v>
      </c>
      <c r="N416" s="73">
        <f t="shared" si="47"/>
        <v>4.0368146352309522E-2</v>
      </c>
      <c r="P416" s="58"/>
      <c r="Q416" s="58"/>
      <c r="R416" s="58">
        <f t="shared" si="48"/>
        <v>17.7496766724</v>
      </c>
      <c r="S416" s="73">
        <f t="shared" si="48"/>
        <v>0.607481228762628</v>
      </c>
      <c r="T416" s="73">
        <f t="shared" si="48"/>
        <v>0.89494602913932486</v>
      </c>
    </row>
    <row r="417" spans="2:20" x14ac:dyDescent="0.6">
      <c r="B417" s="27" t="s">
        <v>967</v>
      </c>
      <c r="C417" s="27"/>
      <c r="D417" s="27"/>
      <c r="E417" s="27"/>
      <c r="F417" s="27"/>
      <c r="G417" s="27"/>
      <c r="H417" s="57"/>
      <c r="L417" s="73"/>
      <c r="M417" s="73"/>
      <c r="N417" s="73"/>
      <c r="P417" s="58"/>
      <c r="Q417" s="58"/>
      <c r="R417" s="49"/>
      <c r="S417" s="73"/>
      <c r="T417" s="73"/>
    </row>
    <row r="418" spans="2:20" x14ac:dyDescent="0.6">
      <c r="B418" s="53" t="s">
        <v>981</v>
      </c>
      <c r="C418" s="53"/>
      <c r="D418" s="53"/>
      <c r="E418" s="53"/>
      <c r="F418" s="53"/>
      <c r="G418" s="53"/>
      <c r="H418" s="57"/>
      <c r="K418" s="58">
        <f t="shared" ref="K418:N419" si="49">AVERAGEIF($E$2:$E$401, $B418, K$1:K$401)</f>
        <v>5.3851256281406981</v>
      </c>
      <c r="L418" s="73">
        <f t="shared" si="49"/>
        <v>14.964284789121786</v>
      </c>
      <c r="M418" s="73">
        <f t="shared" si="49"/>
        <v>0</v>
      </c>
      <c r="N418" s="73">
        <f t="shared" si="49"/>
        <v>4.5476519279342133E-2</v>
      </c>
      <c r="P418" s="58"/>
      <c r="Q418" s="58"/>
      <c r="R418" s="58">
        <f t="shared" ref="R418:T419" si="50">AVERAGEIF($E$2:$E$401, $B418, R$1:R$401)</f>
        <v>17.669864098994978</v>
      </c>
      <c r="S418" s="73">
        <f t="shared" si="50"/>
        <v>0.67676916801174747</v>
      </c>
      <c r="T418" s="73">
        <f t="shared" si="50"/>
        <v>0.98612812571806829</v>
      </c>
    </row>
    <row r="419" spans="2:20" x14ac:dyDescent="0.6">
      <c r="B419" s="53" t="s">
        <v>984</v>
      </c>
      <c r="C419" s="53"/>
      <c r="D419" s="53"/>
      <c r="E419" s="53"/>
      <c r="F419" s="53"/>
      <c r="G419" s="53"/>
      <c r="H419" s="57"/>
      <c r="K419" s="58">
        <f t="shared" si="49"/>
        <v>5.4079999999999959</v>
      </c>
      <c r="L419" s="73">
        <f t="shared" si="49"/>
        <v>23.758061002564936</v>
      </c>
      <c r="M419" s="73">
        <f t="shared" si="49"/>
        <v>0</v>
      </c>
      <c r="N419" s="73">
        <f t="shared" si="49"/>
        <v>4.771549288000404E-2</v>
      </c>
      <c r="P419" s="58"/>
      <c r="Q419" s="58"/>
      <c r="R419" s="58">
        <f t="shared" si="50"/>
        <v>17.8460334928</v>
      </c>
      <c r="S419" s="73">
        <f t="shared" si="50"/>
        <v>0.67957237283272676</v>
      </c>
      <c r="T419" s="73">
        <f t="shared" si="50"/>
        <v>0.99772694722551913</v>
      </c>
    </row>
    <row r="420" spans="2:20" x14ac:dyDescent="0.6">
      <c r="B420" s="35" t="s">
        <v>1051</v>
      </c>
      <c r="K420" s="58">
        <f>AVERAGE(K407:K419)</f>
        <v>5.7310501633165796</v>
      </c>
      <c r="L420" s="73">
        <f>AVERAGE(L407:L419)</f>
        <v>18.990490395299798</v>
      </c>
      <c r="M420" s="73">
        <f>AVERAGE(M407:M419)</f>
        <v>0</v>
      </c>
      <c r="N420" s="73">
        <f>AVERAGE(N407:N419)</f>
        <v>4.9521859453434527E-2</v>
      </c>
      <c r="P420" s="58"/>
      <c r="Q420" s="58"/>
      <c r="R420" s="58">
        <f>AVERAGE(R407:R419)</f>
        <v>18.991333160962384</v>
      </c>
      <c r="S420" s="73">
        <f>AVERAGE(S407:S419)</f>
        <v>0.68685608921780927</v>
      </c>
      <c r="T420" s="73">
        <f>AVERAGE(T407:T419)</f>
        <v>0.98615439389549397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A7" zoomScale="90" zoomScaleNormal="90" workbookViewId="0">
      <selection activeCell="E19" sqref="E19"/>
    </sheetView>
  </sheetViews>
  <sheetFormatPr defaultRowHeight="16.5" x14ac:dyDescent="0.6"/>
  <cols>
    <col min="4" max="4" width="10" customWidth="1"/>
    <col min="8" max="8" width="9.3671875" customWidth="1"/>
  </cols>
  <sheetData>
    <row r="1" spans="1:8" x14ac:dyDescent="0.6">
      <c r="A1" s="59" t="s">
        <v>1054</v>
      </c>
      <c r="B1" s="59"/>
      <c r="C1" s="59"/>
      <c r="E1" s="59" t="s">
        <v>1054</v>
      </c>
      <c r="F1" s="59"/>
      <c r="G1" s="59"/>
    </row>
    <row r="2" spans="1:8" ht="16.8" thickBot="1" x14ac:dyDescent="0.65">
      <c r="A2" s="59" t="s">
        <v>1074</v>
      </c>
      <c r="B2" s="59"/>
      <c r="C2" s="59"/>
      <c r="E2" s="59" t="s">
        <v>1075</v>
      </c>
      <c r="F2" s="59"/>
      <c r="G2" s="59"/>
    </row>
    <row r="3" spans="1:8" x14ac:dyDescent="0.6">
      <c r="A3" s="77"/>
      <c r="B3" s="77" t="s">
        <v>1055</v>
      </c>
      <c r="C3" s="77" t="s">
        <v>1056</v>
      </c>
      <c r="E3" s="77"/>
      <c r="F3" s="77" t="s">
        <v>1055</v>
      </c>
      <c r="G3" s="77" t="s">
        <v>1056</v>
      </c>
    </row>
    <row r="4" spans="1:8" x14ac:dyDescent="0.6">
      <c r="A4" s="75" t="s">
        <v>1057</v>
      </c>
      <c r="B4" s="75">
        <v>0.39410823471080847</v>
      </c>
      <c r="C4" s="75">
        <v>0.56576271786821064</v>
      </c>
      <c r="D4" s="78">
        <f>B4-C4</f>
        <v>-0.17165448315740217</v>
      </c>
      <c r="E4" s="75" t="s">
        <v>1057</v>
      </c>
      <c r="F4" s="75">
        <v>0.39410823471080847</v>
      </c>
      <c r="G4" s="75">
        <v>1.0113067356967087</v>
      </c>
      <c r="H4" s="78">
        <f>F4-G4</f>
        <v>-0.61719850098590023</v>
      </c>
    </row>
    <row r="5" spans="1:8" x14ac:dyDescent="0.6">
      <c r="A5" s="75" t="s">
        <v>1058</v>
      </c>
      <c r="B5" s="75">
        <v>0.26620755275958397</v>
      </c>
      <c r="C5" s="75">
        <v>0.49321375783845006</v>
      </c>
      <c r="D5" s="78">
        <f>B10</f>
        <v>-7.6120416769642985</v>
      </c>
      <c r="E5" s="75" t="s">
        <v>1058</v>
      </c>
      <c r="F5" s="75">
        <v>0.26620755275958397</v>
      </c>
      <c r="G5" s="75">
        <v>0.64284495208837256</v>
      </c>
      <c r="H5" s="78">
        <f>F10</f>
        <v>-18.500786965035044</v>
      </c>
    </row>
    <row r="6" spans="1:8" x14ac:dyDescent="0.6">
      <c r="A6" s="75" t="s">
        <v>1059</v>
      </c>
      <c r="B6" s="75">
        <v>160</v>
      </c>
      <c r="C6" s="75">
        <v>160</v>
      </c>
      <c r="D6" s="60">
        <f>B9</f>
        <v>159</v>
      </c>
      <c r="E6" s="75" t="s">
        <v>1059</v>
      </c>
      <c r="F6" s="75">
        <v>160</v>
      </c>
      <c r="G6" s="75">
        <v>160</v>
      </c>
      <c r="H6" s="60">
        <f>F9</f>
        <v>159</v>
      </c>
    </row>
    <row r="7" spans="1:8" x14ac:dyDescent="0.6">
      <c r="A7" s="75" t="s">
        <v>1060</v>
      </c>
      <c r="B7" s="75">
        <v>0.93564079233109498</v>
      </c>
      <c r="C7" s="75"/>
      <c r="D7" s="78">
        <f>L11</f>
        <v>0</v>
      </c>
      <c r="E7" s="75" t="s">
        <v>1060</v>
      </c>
      <c r="F7" s="75">
        <v>0.88351522173909869</v>
      </c>
      <c r="G7" s="75"/>
      <c r="H7" s="78">
        <f>T11</f>
        <v>0</v>
      </c>
    </row>
    <row r="8" spans="1:8" x14ac:dyDescent="0.6">
      <c r="A8" s="75" t="s">
        <v>1061</v>
      </c>
      <c r="B8" s="75">
        <v>0</v>
      </c>
      <c r="C8" s="75"/>
      <c r="E8" s="75" t="s">
        <v>1061</v>
      </c>
      <c r="F8" s="75">
        <v>0</v>
      </c>
      <c r="G8" s="75"/>
    </row>
    <row r="9" spans="1:8" x14ac:dyDescent="0.6">
      <c r="A9" s="75" t="s">
        <v>1062</v>
      </c>
      <c r="B9" s="75">
        <v>159</v>
      </c>
      <c r="C9" s="75"/>
      <c r="E9" s="75" t="s">
        <v>1062</v>
      </c>
      <c r="F9" s="75">
        <v>159</v>
      </c>
      <c r="G9" s="75"/>
    </row>
    <row r="10" spans="1:8" x14ac:dyDescent="0.6">
      <c r="A10" s="75" t="s">
        <v>1063</v>
      </c>
      <c r="B10" s="75">
        <v>-7.6120416769642985</v>
      </c>
      <c r="C10" s="75"/>
      <c r="E10" s="75" t="s">
        <v>1063</v>
      </c>
      <c r="F10" s="75">
        <v>-18.500786965035044</v>
      </c>
      <c r="G10" s="75"/>
    </row>
    <row r="11" spans="1:8" x14ac:dyDescent="0.6">
      <c r="A11" s="75" t="s">
        <v>1064</v>
      </c>
      <c r="B11" s="75">
        <v>1.1237011669572743E-12</v>
      </c>
      <c r="C11" s="75"/>
      <c r="E11" s="75" t="s">
        <v>1064</v>
      </c>
      <c r="F11" s="75">
        <v>8.6273232548920942E-42</v>
      </c>
      <c r="G11" s="75"/>
    </row>
    <row r="12" spans="1:8" x14ac:dyDescent="0.6">
      <c r="A12" s="75" t="s">
        <v>1065</v>
      </c>
      <c r="B12" s="75">
        <v>1.6544935026311094</v>
      </c>
      <c r="C12" s="75"/>
      <c r="E12" s="75" t="s">
        <v>1065</v>
      </c>
      <c r="F12" s="75">
        <v>1.6544935026311094</v>
      </c>
      <c r="G12" s="75"/>
    </row>
    <row r="13" spans="1:8" x14ac:dyDescent="0.6">
      <c r="A13" s="75" t="s">
        <v>1066</v>
      </c>
      <c r="B13" s="75">
        <v>2.2474023339145485E-12</v>
      </c>
      <c r="C13" s="75"/>
      <c r="E13" s="75" t="s">
        <v>1066</v>
      </c>
      <c r="F13" s="75">
        <v>1.7254646509784188E-41</v>
      </c>
      <c r="G13" s="75"/>
    </row>
    <row r="14" spans="1:8" ht="16.8" thickBot="1" x14ac:dyDescent="0.65">
      <c r="A14" s="76" t="s">
        <v>1067</v>
      </c>
      <c r="B14" s="76">
        <v>1.9749962127674823</v>
      </c>
      <c r="C14" s="76"/>
      <c r="E14" s="76" t="s">
        <v>1067</v>
      </c>
      <c r="F14" s="76">
        <v>1.9749962127674823</v>
      </c>
      <c r="G14" s="76"/>
    </row>
    <row r="17" spans="1:8" x14ac:dyDescent="0.6">
      <c r="A17" s="59" t="s">
        <v>1054</v>
      </c>
      <c r="B17" s="59"/>
      <c r="C17" s="59"/>
      <c r="E17" s="59" t="s">
        <v>1054</v>
      </c>
      <c r="F17" s="59"/>
      <c r="G17" s="59"/>
    </row>
    <row r="18" spans="1:8" ht="16.8" thickBot="1" x14ac:dyDescent="0.65">
      <c r="A18" s="59" t="s">
        <v>1076</v>
      </c>
      <c r="B18" s="59"/>
      <c r="C18" s="59"/>
      <c r="E18" s="59" t="s">
        <v>1077</v>
      </c>
      <c r="F18" s="59"/>
      <c r="G18" s="59"/>
    </row>
    <row r="19" spans="1:8" x14ac:dyDescent="0.6">
      <c r="A19" s="77"/>
      <c r="B19" s="77" t="s">
        <v>1055</v>
      </c>
      <c r="C19" s="77" t="s">
        <v>1056</v>
      </c>
      <c r="E19" s="77"/>
      <c r="F19" s="77" t="s">
        <v>1055</v>
      </c>
      <c r="G19" s="77" t="s">
        <v>1056</v>
      </c>
    </row>
    <row r="20" spans="1:8" x14ac:dyDescent="0.6">
      <c r="A20" s="75" t="s">
        <v>1057</v>
      </c>
      <c r="B20" s="75">
        <v>0</v>
      </c>
      <c r="C20" s="75">
        <v>0.67743416790197297</v>
      </c>
      <c r="D20" s="78">
        <f>B20-C20</f>
        <v>-0.67743416790197297</v>
      </c>
      <c r="E20" s="75" t="s">
        <v>1057</v>
      </c>
      <c r="F20" s="75">
        <v>4.6526406492233052E-2</v>
      </c>
      <c r="G20" s="75">
        <v>0.99078496748024958</v>
      </c>
      <c r="H20" s="78">
        <f>F20-G20</f>
        <v>-0.94425856098801653</v>
      </c>
    </row>
    <row r="21" spans="1:8" x14ac:dyDescent="0.6">
      <c r="A21" s="75" t="s">
        <v>1058</v>
      </c>
      <c r="B21" s="75">
        <v>0</v>
      </c>
      <c r="C21" s="75">
        <v>7.3631771800354906E-2</v>
      </c>
      <c r="D21" s="78">
        <f>B26</f>
        <v>-49.930333588745341</v>
      </c>
      <c r="E21" s="75" t="s">
        <v>1058</v>
      </c>
      <c r="F21" s="75">
        <v>2.0163665035088678E-3</v>
      </c>
      <c r="G21" s="75">
        <v>0.11181771381791977</v>
      </c>
      <c r="H21" s="78">
        <f>F26</f>
        <v>-59.277006048186443</v>
      </c>
    </row>
    <row r="22" spans="1:8" x14ac:dyDescent="0.6">
      <c r="A22" s="75" t="s">
        <v>1059</v>
      </c>
      <c r="B22" s="75">
        <v>400</v>
      </c>
      <c r="C22" s="75">
        <v>400</v>
      </c>
      <c r="D22" s="60">
        <f>B25</f>
        <v>399</v>
      </c>
      <c r="E22" s="75" t="s">
        <v>1059</v>
      </c>
      <c r="F22" s="75">
        <v>400</v>
      </c>
      <c r="G22" s="75">
        <v>400</v>
      </c>
      <c r="H22" s="60">
        <f>F25</f>
        <v>399</v>
      </c>
    </row>
    <row r="23" spans="1:8" x14ac:dyDescent="0.6">
      <c r="A23" s="75" t="s">
        <v>1060</v>
      </c>
      <c r="B23" s="75" t="e">
        <v>#DIV/0!</v>
      </c>
      <c r="C23" s="75"/>
      <c r="D23" s="78">
        <f>L27</f>
        <v>0</v>
      </c>
      <c r="E23" s="75" t="s">
        <v>1060</v>
      </c>
      <c r="F23" s="75">
        <v>0.41068577062606509</v>
      </c>
      <c r="G23" s="75"/>
      <c r="H23" s="78">
        <f>T27</f>
        <v>0</v>
      </c>
    </row>
    <row r="24" spans="1:8" x14ac:dyDescent="0.6">
      <c r="A24" s="75" t="s">
        <v>1061</v>
      </c>
      <c r="B24" s="75">
        <v>0</v>
      </c>
      <c r="C24" s="75"/>
      <c r="E24" s="75" t="s">
        <v>1061</v>
      </c>
      <c r="F24" s="75">
        <v>0</v>
      </c>
      <c r="G24" s="75"/>
    </row>
    <row r="25" spans="1:8" x14ac:dyDescent="0.6">
      <c r="A25" s="75" t="s">
        <v>1062</v>
      </c>
      <c r="B25" s="75">
        <v>399</v>
      </c>
      <c r="C25" s="75"/>
      <c r="E25" s="75" t="s">
        <v>1062</v>
      </c>
      <c r="F25" s="75">
        <v>399</v>
      </c>
      <c r="G25" s="75"/>
    </row>
    <row r="26" spans="1:8" x14ac:dyDescent="0.6">
      <c r="A26" s="75" t="s">
        <v>1063</v>
      </c>
      <c r="B26" s="75">
        <v>-49.930333588745341</v>
      </c>
      <c r="C26" s="75"/>
      <c r="E26" s="75" t="s">
        <v>1063</v>
      </c>
      <c r="F26" s="75">
        <v>-59.277006048186443</v>
      </c>
      <c r="G26" s="75"/>
    </row>
    <row r="27" spans="1:8" x14ac:dyDescent="0.6">
      <c r="A27" s="75" t="s">
        <v>1064</v>
      </c>
      <c r="B27" s="75">
        <v>5.2012196922635293E-174</v>
      </c>
      <c r="C27" s="75"/>
      <c r="E27" s="75" t="s">
        <v>1064</v>
      </c>
      <c r="F27" s="75">
        <v>3.2885172208380308E-200</v>
      </c>
      <c r="G27" s="75"/>
    </row>
    <row r="28" spans="1:8" x14ac:dyDescent="0.6">
      <c r="A28" s="75" t="s">
        <v>1065</v>
      </c>
      <c r="B28" s="75">
        <v>1.6486815335554372</v>
      </c>
      <c r="C28" s="75"/>
      <c r="E28" s="75" t="s">
        <v>1065</v>
      </c>
      <c r="F28" s="75">
        <v>1.6486815335554372</v>
      </c>
      <c r="G28" s="75"/>
    </row>
    <row r="29" spans="1:8" x14ac:dyDescent="0.6">
      <c r="A29" s="75" t="s">
        <v>1066</v>
      </c>
      <c r="B29" s="75">
        <v>1.0402439384527059E-173</v>
      </c>
      <c r="C29" s="75"/>
      <c r="E29" s="75" t="s">
        <v>1066</v>
      </c>
      <c r="F29" s="75">
        <v>6.5770344416760616E-200</v>
      </c>
      <c r="G29" s="75"/>
    </row>
    <row r="30" spans="1:8" ht="16.8" thickBot="1" x14ac:dyDescent="0.65">
      <c r="A30" s="76" t="s">
        <v>1067</v>
      </c>
      <c r="B30" s="76">
        <v>1.9659272959208922</v>
      </c>
      <c r="C30" s="76"/>
      <c r="E30" s="76" t="s">
        <v>1067</v>
      </c>
      <c r="F30" s="76">
        <v>1.9659272959208922</v>
      </c>
      <c r="G30" s="76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0_ALL</vt:lpstr>
      <vt:lpstr>0_result(Small)</vt:lpstr>
      <vt:lpstr>0_result(Large)</vt:lpstr>
      <vt:lpstr>統計檢定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swlin</cp:lastModifiedBy>
  <cp:lastPrinted>2021-04-07T23:11:19Z</cp:lastPrinted>
  <dcterms:created xsi:type="dcterms:W3CDTF">2021-03-10T11:40:51Z</dcterms:created>
  <dcterms:modified xsi:type="dcterms:W3CDTF">2021-04-17T23:48:45Z</dcterms:modified>
</cp:coreProperties>
</file>